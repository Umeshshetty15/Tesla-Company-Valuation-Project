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Files\Courses\Financial Modelling\"/>
    </mc:Choice>
  </mc:AlternateContent>
  <xr:revisionPtr revIDLastSave="0" documentId="13_ncr:1_{804F4D6C-FD2B-47F7-B98F-B402A9BB673A}" xr6:coauthVersionLast="47" xr6:coauthVersionMax="47" xr10:uidLastSave="{00000000-0000-0000-0000-000000000000}"/>
  <bookViews>
    <workbookView xWindow="-108" yWindow="-108" windowWidth="23256" windowHeight="12456" activeTab="3" xr2:uid="{B7A544B8-EBCF-4531-B9AA-A3317219ADDD}"/>
  </bookViews>
  <sheets>
    <sheet name="Tesla Company Analysis" sheetId="1" r:id="rId1"/>
    <sheet name="Drivers" sheetId="2" r:id="rId2"/>
    <sheet name="Input ---&gt;" sheetId="36" r:id="rId3"/>
    <sheet name="P&amp;L Input" sheetId="3" r:id="rId4"/>
    <sheet name="Balance Sheet Input" sheetId="4" r:id="rId5"/>
    <sheet name="Income Statement Items ---&gt;" sheetId="37" r:id="rId6"/>
    <sheet name="1. Automotive" sheetId="38" r:id="rId7"/>
    <sheet name="Tesla Automotive Deliveries" sheetId="5" r:id="rId8"/>
    <sheet name=" Automotive Deliveries Chart" sheetId="7" r:id="rId9"/>
    <sheet name="Automotive Deliverie comparable" sheetId="8" r:id="rId10"/>
    <sheet name="Average Automotive Model Prices" sheetId="9" r:id="rId11"/>
    <sheet name="Tesla Revenue Automotive" sheetId="10" r:id="rId12"/>
    <sheet name="Tesla Automotivo GP% " sheetId="11" r:id="rId13"/>
    <sheet name="Tesla Automotive GP " sheetId="12" r:id="rId14"/>
    <sheet name="Tesla Cost of sales Automotive" sheetId="13" r:id="rId15"/>
    <sheet name="Revenue and GP Automative Chart" sheetId="14" r:id="rId16"/>
    <sheet name="2.Tesla Energy,Services &amp; Other" sheetId="39" r:id="rId17"/>
    <sheet name="Revenue Energy, service &amp; Other" sheetId="15" r:id="rId18"/>
    <sheet name="Energy, services &amp; Other GP" sheetId="17" r:id="rId19"/>
    <sheet name="COGS Energy, Services &amp; Other" sheetId="16" r:id="rId20"/>
    <sheet name="Operating Expenses ---&gt;" sheetId="40" r:id="rId21"/>
    <sheet name="Tesla Opex comparables" sheetId="18" r:id="rId22"/>
    <sheet name="Tesla Opex" sheetId="19" r:id="rId23"/>
    <sheet name="PP&amp;E ---&gt;" sheetId="41" r:id="rId24"/>
    <sheet name="Tesla PP&amp;E" sheetId="20" r:id="rId25"/>
    <sheet name="Tesla PP&amp;E Comparables" sheetId="21" r:id="rId26"/>
    <sheet name="Working Capital ---&gt; " sheetId="42" r:id="rId27"/>
    <sheet name="Tesla Working capital " sheetId="23" r:id="rId28"/>
    <sheet name="Tesla WC comparables" sheetId="22" r:id="rId29"/>
    <sheet name="Financing ---&gt;" sheetId="43" r:id="rId30"/>
    <sheet name="Tesla Financing " sheetId="27" r:id="rId31"/>
    <sheet name="Financial Statements ---&gt;" sheetId="44" r:id="rId32"/>
    <sheet name="P&amp;L " sheetId="26" r:id="rId33"/>
    <sheet name="Balance Sheet " sheetId="28" r:id="rId34"/>
    <sheet name="Cash Flow " sheetId="29" r:id="rId35"/>
    <sheet name="WACC ---&gt;" sheetId="45" r:id="rId36"/>
    <sheet name="WACC " sheetId="25" r:id="rId37"/>
    <sheet name="DCF Model ---&gt;" sheetId="46" r:id="rId38"/>
    <sheet name="DCF Valuation " sheetId="30" r:id="rId39"/>
    <sheet name="Charts ---&gt;" sheetId="47" r:id="rId40"/>
    <sheet name="Cash Flow WaterFall" sheetId="31" r:id="rId41"/>
    <sheet name="Net Income Waterfall " sheetId="32" r:id="rId42"/>
    <sheet name="Revenue by type of car" sheetId="33" r:id="rId43"/>
    <sheet name="Types of vehicles" sheetId="34" r:id="rId44"/>
  </sheets>
  <externalReferences>
    <externalReference r:id="rId45"/>
  </externalReferences>
  <definedNames>
    <definedName name="_xlchart.v1.2" hidden="1">'Cash Flow WaterFall'!$B$21:$B$27</definedName>
    <definedName name="_xlchart.v1.3" hidden="1">'Cash Flow WaterFall'!$C$21:$C$27</definedName>
    <definedName name="_xlchart.v1.4" hidden="1">'Net Income Waterfall '!$B$3:$B$16</definedName>
    <definedName name="_xlchart.v1.5" hidden="1">'Net Income Waterfall '!$C$3:$C$16</definedName>
    <definedName name="_xlchart.v5.0" hidden="1">'Cash Flow WaterFall'!$B$3:$B$9</definedName>
    <definedName name="_xlchart.v5.1" hidden="1">'Cash Flow WaterFall'!$C$3:$C$9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6" i="28" l="1"/>
  <c r="E36" i="28"/>
  <c r="F36" i="28"/>
  <c r="G36" i="28"/>
  <c r="C36" i="28"/>
  <c r="B3" i="20"/>
  <c r="C18" i="8"/>
  <c r="C17" i="8"/>
  <c r="C16" i="8"/>
  <c r="D4" i="34" l="1"/>
  <c r="E4" i="34"/>
  <c r="F4" i="34"/>
  <c r="G4" i="34"/>
  <c r="H4" i="34"/>
  <c r="I4" i="34"/>
  <c r="J4" i="34"/>
  <c r="K4" i="34"/>
  <c r="L4" i="34"/>
  <c r="M4" i="34"/>
  <c r="N4" i="34"/>
  <c r="O4" i="34"/>
  <c r="P4" i="34"/>
  <c r="Q4" i="34"/>
  <c r="R4" i="34"/>
  <c r="C5" i="34"/>
  <c r="C6" i="34"/>
  <c r="I6" i="34" s="1"/>
  <c r="C7" i="34"/>
  <c r="I7" i="34" s="1"/>
  <c r="C8" i="34"/>
  <c r="H8" i="33"/>
  <c r="I8" i="33"/>
  <c r="H9" i="33"/>
  <c r="H10" i="33"/>
  <c r="G10" i="33"/>
  <c r="F10" i="33"/>
  <c r="E10" i="33"/>
  <c r="D10" i="33"/>
  <c r="C10" i="33"/>
  <c r="G9" i="33"/>
  <c r="F9" i="33"/>
  <c r="E9" i="33"/>
  <c r="D9" i="33"/>
  <c r="C9" i="33"/>
  <c r="G8" i="33"/>
  <c r="F8" i="33"/>
  <c r="E8" i="33"/>
  <c r="D8" i="33"/>
  <c r="C8" i="33"/>
  <c r="G7" i="33"/>
  <c r="F7" i="33"/>
  <c r="E7" i="33"/>
  <c r="D7" i="33"/>
  <c r="C7" i="33"/>
  <c r="C9" i="32"/>
  <c r="C8" i="32"/>
  <c r="F17" i="30"/>
  <c r="C6" i="25"/>
  <c r="C9" i="25" s="1"/>
  <c r="C3" i="30"/>
  <c r="D22" i="25"/>
  <c r="E22" i="25"/>
  <c r="F22" i="25"/>
  <c r="G22" i="25"/>
  <c r="H22" i="25"/>
  <c r="I22" i="25"/>
  <c r="J22" i="25"/>
  <c r="K22" i="25"/>
  <c r="L22" i="25"/>
  <c r="M22" i="25"/>
  <c r="N22" i="25"/>
  <c r="O22" i="25"/>
  <c r="P22" i="25"/>
  <c r="Q22" i="25"/>
  <c r="J39" i="20"/>
  <c r="K39" i="20" s="1"/>
  <c r="L39" i="20" s="1"/>
  <c r="M39" i="20" s="1"/>
  <c r="N39" i="20" s="1"/>
  <c r="O39" i="20" s="1"/>
  <c r="P39" i="20" s="1"/>
  <c r="Q39" i="20" s="1"/>
  <c r="I39" i="20"/>
  <c r="H39" i="20"/>
  <c r="H36" i="20" s="1"/>
  <c r="H32" i="20" s="1"/>
  <c r="H40" i="20"/>
  <c r="H43" i="20" s="1"/>
  <c r="B43" i="20"/>
  <c r="B40" i="20"/>
  <c r="B37" i="20"/>
  <c r="D30" i="29"/>
  <c r="C32" i="29"/>
  <c r="E26" i="29"/>
  <c r="F26" i="29"/>
  <c r="G26" i="29"/>
  <c r="H26" i="29"/>
  <c r="I26" i="29"/>
  <c r="J26" i="29"/>
  <c r="K26" i="29"/>
  <c r="L26" i="29"/>
  <c r="M26" i="29"/>
  <c r="N26" i="29"/>
  <c r="O26" i="29"/>
  <c r="P26" i="29"/>
  <c r="Q26" i="29"/>
  <c r="D26" i="29"/>
  <c r="D17" i="26"/>
  <c r="E17" i="26"/>
  <c r="F17" i="26"/>
  <c r="G17" i="26"/>
  <c r="C17" i="26"/>
  <c r="I10" i="26"/>
  <c r="I22" i="29" s="1"/>
  <c r="H10" i="26"/>
  <c r="C14" i="32" s="1"/>
  <c r="I10" i="19"/>
  <c r="I6" i="19" s="1"/>
  <c r="J10" i="19"/>
  <c r="J6" i="19" s="1"/>
  <c r="K10" i="19"/>
  <c r="L10" i="19"/>
  <c r="L6" i="19" s="1"/>
  <c r="M10" i="19"/>
  <c r="M6" i="19" s="1"/>
  <c r="N10" i="19"/>
  <c r="O10" i="19"/>
  <c r="P10" i="19"/>
  <c r="P6" i="19" s="1"/>
  <c r="Q10" i="19"/>
  <c r="Q6" i="19" s="1"/>
  <c r="H10" i="19"/>
  <c r="H6" i="19" s="1"/>
  <c r="I17" i="19"/>
  <c r="J17" i="19"/>
  <c r="K17" i="19"/>
  <c r="L17" i="19"/>
  <c r="M17" i="19"/>
  <c r="M20" i="19" s="1"/>
  <c r="N17" i="19"/>
  <c r="O17" i="19"/>
  <c r="O20" i="19" s="1"/>
  <c r="P17" i="19"/>
  <c r="P20" i="19" s="1"/>
  <c r="Q17" i="19"/>
  <c r="H17" i="19"/>
  <c r="C20" i="28"/>
  <c r="E17" i="29"/>
  <c r="F17" i="29"/>
  <c r="G17" i="29"/>
  <c r="D17" i="29"/>
  <c r="E13" i="29"/>
  <c r="F13" i="29"/>
  <c r="F14" i="29" s="1"/>
  <c r="G13" i="29"/>
  <c r="D13" i="29"/>
  <c r="E11" i="29"/>
  <c r="F11" i="29"/>
  <c r="G11" i="29"/>
  <c r="E12" i="29"/>
  <c r="F12" i="29"/>
  <c r="G12" i="29"/>
  <c r="G14" i="29" s="1"/>
  <c r="D12" i="29"/>
  <c r="D11" i="29"/>
  <c r="R24" i="28"/>
  <c r="I14" i="28"/>
  <c r="J14" i="28"/>
  <c r="K14" i="28"/>
  <c r="L14" i="28"/>
  <c r="M14" i="28"/>
  <c r="N14" i="28"/>
  <c r="O14" i="28"/>
  <c r="P14" i="28"/>
  <c r="Q14" i="28"/>
  <c r="I12" i="28"/>
  <c r="J12" i="28"/>
  <c r="K12" i="28"/>
  <c r="L12" i="28"/>
  <c r="M12" i="28"/>
  <c r="N12" i="28"/>
  <c r="O12" i="28"/>
  <c r="P12" i="28"/>
  <c r="Q12" i="28"/>
  <c r="I11" i="28"/>
  <c r="J11" i="28"/>
  <c r="K11" i="28"/>
  <c r="L11" i="28"/>
  <c r="M11" i="28"/>
  <c r="N11" i="28"/>
  <c r="O11" i="28"/>
  <c r="P11" i="28"/>
  <c r="Q11" i="28"/>
  <c r="I6" i="28"/>
  <c r="J6" i="28"/>
  <c r="K6" i="28" s="1"/>
  <c r="H6" i="28"/>
  <c r="D19" i="28"/>
  <c r="E19" i="28"/>
  <c r="F19" i="28"/>
  <c r="G19" i="28"/>
  <c r="D20" i="28"/>
  <c r="E20" i="28"/>
  <c r="F20" i="28"/>
  <c r="G20" i="28"/>
  <c r="D22" i="28"/>
  <c r="D18" i="29" s="1"/>
  <c r="E22" i="28"/>
  <c r="E18" i="29" s="1"/>
  <c r="F22" i="28"/>
  <c r="F18" i="29" s="1"/>
  <c r="G22" i="28"/>
  <c r="G18" i="29" s="1"/>
  <c r="D24" i="28"/>
  <c r="E24" i="28"/>
  <c r="F24" i="28"/>
  <c r="G24" i="28"/>
  <c r="D26" i="28"/>
  <c r="E26" i="28"/>
  <c r="F26" i="28"/>
  <c r="G26" i="28"/>
  <c r="D28" i="28"/>
  <c r="D23" i="29" s="1"/>
  <c r="E28" i="28"/>
  <c r="E23" i="29" s="1"/>
  <c r="F28" i="28"/>
  <c r="F15" i="25" s="1"/>
  <c r="F18" i="25" s="1"/>
  <c r="G28" i="28"/>
  <c r="G23" i="29" s="1"/>
  <c r="D29" i="28"/>
  <c r="E29" i="28"/>
  <c r="F29" i="28"/>
  <c r="G29" i="28"/>
  <c r="E31" i="28"/>
  <c r="E34" i="28" s="1"/>
  <c r="D32" i="28"/>
  <c r="D16" i="25" s="1"/>
  <c r="E32" i="28"/>
  <c r="E16" i="25" s="1"/>
  <c r="F32" i="28"/>
  <c r="F16" i="25" s="1"/>
  <c r="G32" i="28"/>
  <c r="G16" i="25" s="1"/>
  <c r="C32" i="28"/>
  <c r="C16" i="25" s="1"/>
  <c r="C29" i="28"/>
  <c r="C28" i="28"/>
  <c r="C15" i="25" s="1"/>
  <c r="C18" i="25" s="1"/>
  <c r="C26" i="28"/>
  <c r="C24" i="28"/>
  <c r="C22" i="28"/>
  <c r="C19" i="28"/>
  <c r="D17" i="28"/>
  <c r="E17" i="28"/>
  <c r="F17" i="28"/>
  <c r="G17" i="28"/>
  <c r="C17" i="28"/>
  <c r="D15" i="28"/>
  <c r="E15" i="28"/>
  <c r="F15" i="28"/>
  <c r="G15" i="28"/>
  <c r="C15" i="28"/>
  <c r="D14" i="28"/>
  <c r="E14" i="28"/>
  <c r="F14" i="28"/>
  <c r="G14" i="28"/>
  <c r="C14" i="28"/>
  <c r="D13" i="28"/>
  <c r="E13" i="28"/>
  <c r="F13" i="28"/>
  <c r="G13" i="28"/>
  <c r="C13" i="28"/>
  <c r="D12" i="28"/>
  <c r="E12" i="28"/>
  <c r="F12" i="28"/>
  <c r="G12" i="28"/>
  <c r="C12" i="28"/>
  <c r="E11" i="28"/>
  <c r="F11" i="28"/>
  <c r="G11" i="28"/>
  <c r="D11" i="28"/>
  <c r="C11" i="28"/>
  <c r="D5" i="28"/>
  <c r="E5" i="28"/>
  <c r="F5" i="28"/>
  <c r="G5" i="28"/>
  <c r="D6" i="28"/>
  <c r="E6" i="28"/>
  <c r="F6" i="28"/>
  <c r="G6" i="28"/>
  <c r="D7" i="28"/>
  <c r="E7" i="28"/>
  <c r="F7" i="28"/>
  <c r="G7" i="28"/>
  <c r="D8" i="28"/>
  <c r="E8" i="28"/>
  <c r="F8" i="28"/>
  <c r="G8" i="28"/>
  <c r="D9" i="28"/>
  <c r="E9" i="28"/>
  <c r="F9" i="28"/>
  <c r="G9" i="28"/>
  <c r="C6" i="28"/>
  <c r="C7" i="28"/>
  <c r="C8" i="28"/>
  <c r="C9" i="28"/>
  <c r="C5" i="28"/>
  <c r="E8" i="29"/>
  <c r="F8" i="29"/>
  <c r="G8" i="29"/>
  <c r="D8" i="29"/>
  <c r="E6" i="29"/>
  <c r="E25" i="29" s="1"/>
  <c r="F6" i="29"/>
  <c r="F25" i="29" s="1"/>
  <c r="G6" i="29"/>
  <c r="G25" i="29" s="1"/>
  <c r="D6" i="29"/>
  <c r="D25" i="29" s="1"/>
  <c r="D8" i="23"/>
  <c r="E8" i="23"/>
  <c r="F8" i="23"/>
  <c r="G8" i="23"/>
  <c r="D13" i="26"/>
  <c r="E13" i="26"/>
  <c r="F13" i="26"/>
  <c r="G13" i="26"/>
  <c r="C13" i="26"/>
  <c r="D12" i="26"/>
  <c r="E12" i="26"/>
  <c r="F12" i="26"/>
  <c r="G12" i="26"/>
  <c r="C12" i="26"/>
  <c r="G10" i="26"/>
  <c r="C7" i="32" s="1"/>
  <c r="E10" i="26"/>
  <c r="E22" i="29" s="1"/>
  <c r="F10" i="26"/>
  <c r="F22" i="29" s="1"/>
  <c r="D10" i="26"/>
  <c r="D22" i="29" s="1"/>
  <c r="C10" i="26"/>
  <c r="C31" i="29"/>
  <c r="E14" i="29"/>
  <c r="D14" i="29"/>
  <c r="B6" i="29"/>
  <c r="H12" i="28"/>
  <c r="D12" i="27"/>
  <c r="E12" i="27"/>
  <c r="F12" i="27"/>
  <c r="G12" i="27"/>
  <c r="G13" i="27" s="1"/>
  <c r="D11" i="27"/>
  <c r="E11" i="27"/>
  <c r="F11" i="27"/>
  <c r="G11" i="27"/>
  <c r="E13" i="27"/>
  <c r="F13" i="27"/>
  <c r="C13" i="27"/>
  <c r="C12" i="27"/>
  <c r="C11" i="27"/>
  <c r="C7" i="27"/>
  <c r="H13" i="27" s="1"/>
  <c r="B12" i="27"/>
  <c r="G8" i="26"/>
  <c r="C10" i="25"/>
  <c r="C7" i="25"/>
  <c r="C5" i="25"/>
  <c r="C4" i="25"/>
  <c r="D14" i="23"/>
  <c r="E14" i="23"/>
  <c r="F14" i="23"/>
  <c r="G14" i="23"/>
  <c r="H14" i="23"/>
  <c r="I14" i="23"/>
  <c r="J14" i="23"/>
  <c r="K14" i="23"/>
  <c r="L14" i="23"/>
  <c r="M14" i="23"/>
  <c r="N14" i="23"/>
  <c r="O14" i="23"/>
  <c r="P14" i="23"/>
  <c r="Q14" i="23"/>
  <c r="C14" i="23"/>
  <c r="I13" i="23"/>
  <c r="J13" i="23"/>
  <c r="K13" i="23"/>
  <c r="L13" i="23"/>
  <c r="M13" i="23"/>
  <c r="N13" i="23"/>
  <c r="O13" i="23"/>
  <c r="P13" i="23"/>
  <c r="Q13" i="23"/>
  <c r="H13" i="23"/>
  <c r="D13" i="23"/>
  <c r="E13" i="23"/>
  <c r="F13" i="23"/>
  <c r="G13" i="23"/>
  <c r="C13" i="23"/>
  <c r="I12" i="23"/>
  <c r="J12" i="23"/>
  <c r="K12" i="23"/>
  <c r="L12" i="23"/>
  <c r="M12" i="23"/>
  <c r="N12" i="23"/>
  <c r="O12" i="23"/>
  <c r="P12" i="23"/>
  <c r="Q12" i="23"/>
  <c r="H12" i="23"/>
  <c r="D12" i="23"/>
  <c r="E12" i="23"/>
  <c r="F12" i="23"/>
  <c r="G12" i="23"/>
  <c r="C12" i="23"/>
  <c r="E42" i="4"/>
  <c r="F42" i="4"/>
  <c r="G42" i="4"/>
  <c r="D42" i="4"/>
  <c r="C42" i="4"/>
  <c r="D41" i="4"/>
  <c r="E41" i="4"/>
  <c r="F41" i="4"/>
  <c r="G41" i="4"/>
  <c r="C41" i="4"/>
  <c r="I11" i="23"/>
  <c r="J11" i="23"/>
  <c r="K11" i="23"/>
  <c r="L11" i="23"/>
  <c r="M11" i="23"/>
  <c r="N11" i="23"/>
  <c r="O11" i="23"/>
  <c r="P11" i="23"/>
  <c r="Q11" i="23"/>
  <c r="H11" i="23"/>
  <c r="D11" i="23"/>
  <c r="E11" i="23"/>
  <c r="F11" i="23"/>
  <c r="G11" i="23"/>
  <c r="C11" i="23"/>
  <c r="D40" i="4"/>
  <c r="E40" i="4"/>
  <c r="F40" i="4"/>
  <c r="G40" i="4"/>
  <c r="C40" i="4"/>
  <c r="D7" i="23"/>
  <c r="E7" i="23"/>
  <c r="F7" i="23"/>
  <c r="G7" i="23"/>
  <c r="D6" i="23"/>
  <c r="E6" i="23"/>
  <c r="F6" i="23"/>
  <c r="G6" i="23"/>
  <c r="D5" i="23"/>
  <c r="E5" i="23"/>
  <c r="F5" i="23"/>
  <c r="G5" i="23"/>
  <c r="C7" i="23"/>
  <c r="C6" i="23"/>
  <c r="C5" i="23"/>
  <c r="C8" i="23"/>
  <c r="I15" i="22"/>
  <c r="F15" i="22"/>
  <c r="C15" i="22"/>
  <c r="L14" i="22"/>
  <c r="J14" i="22"/>
  <c r="G14" i="22"/>
  <c r="D14" i="22"/>
  <c r="M14" i="22" s="1"/>
  <c r="L13" i="22"/>
  <c r="M13" i="22" s="1"/>
  <c r="J13" i="22"/>
  <c r="G13" i="22"/>
  <c r="D13" i="22"/>
  <c r="L12" i="22"/>
  <c r="M11" i="22"/>
  <c r="L11" i="22"/>
  <c r="J11" i="22"/>
  <c r="G11" i="22"/>
  <c r="D11" i="22"/>
  <c r="L10" i="22"/>
  <c r="M10" i="22" s="1"/>
  <c r="J10" i="22"/>
  <c r="G10" i="22"/>
  <c r="D10" i="22"/>
  <c r="L9" i="22"/>
  <c r="M9" i="22" s="1"/>
  <c r="J9" i="22"/>
  <c r="G9" i="22"/>
  <c r="D9" i="22"/>
  <c r="L8" i="22"/>
  <c r="M8" i="22" s="1"/>
  <c r="J8" i="22"/>
  <c r="G8" i="22"/>
  <c r="D8" i="22"/>
  <c r="D15" i="22" s="1"/>
  <c r="M7" i="22"/>
  <c r="L7" i="22"/>
  <c r="L15" i="22" s="1"/>
  <c r="J7" i="22"/>
  <c r="J15" i="22" s="1"/>
  <c r="G7" i="22"/>
  <c r="G15" i="22" s="1"/>
  <c r="D7" i="22"/>
  <c r="F16" i="21"/>
  <c r="D16" i="21"/>
  <c r="C16" i="21"/>
  <c r="D15" i="21"/>
  <c r="G14" i="21"/>
  <c r="D14" i="21"/>
  <c r="G13" i="21"/>
  <c r="G16" i="21" s="1"/>
  <c r="D13" i="21"/>
  <c r="G12" i="21"/>
  <c r="D12" i="21"/>
  <c r="G11" i="21"/>
  <c r="D11" i="21"/>
  <c r="G10" i="21"/>
  <c r="D10" i="21"/>
  <c r="G9" i="21"/>
  <c r="D9" i="21"/>
  <c r="G8" i="21"/>
  <c r="D8" i="21"/>
  <c r="G7" i="21"/>
  <c r="D7" i="21"/>
  <c r="D10" i="20"/>
  <c r="E7" i="20" s="1"/>
  <c r="E10" i="20"/>
  <c r="F10" i="20"/>
  <c r="G7" i="20" s="1"/>
  <c r="G10" i="20"/>
  <c r="H7" i="20" s="1"/>
  <c r="C10" i="20"/>
  <c r="D7" i="20" s="1"/>
  <c r="G28" i="20"/>
  <c r="F28" i="20"/>
  <c r="E28" i="20"/>
  <c r="D28" i="20"/>
  <c r="C28" i="20"/>
  <c r="C7" i="20"/>
  <c r="Q20" i="19"/>
  <c r="N20" i="19"/>
  <c r="L14" i="19"/>
  <c r="K20" i="19"/>
  <c r="J14" i="19"/>
  <c r="I20" i="19"/>
  <c r="H20" i="19"/>
  <c r="Q14" i="19"/>
  <c r="I14" i="19"/>
  <c r="H14" i="19"/>
  <c r="O6" i="19"/>
  <c r="K6" i="19"/>
  <c r="G7" i="19"/>
  <c r="F7" i="19"/>
  <c r="F8" i="26" s="1"/>
  <c r="E7" i="19"/>
  <c r="E8" i="26" s="1"/>
  <c r="D7" i="19"/>
  <c r="D8" i="26" s="1"/>
  <c r="C7" i="19"/>
  <c r="N6" i="19"/>
  <c r="G5" i="19"/>
  <c r="F5" i="19"/>
  <c r="E5" i="19"/>
  <c r="D5" i="19"/>
  <c r="C5" i="19"/>
  <c r="C18" i="18"/>
  <c r="D18" i="18"/>
  <c r="D8" i="18"/>
  <c r="D9" i="18"/>
  <c r="D10" i="18"/>
  <c r="D11" i="18"/>
  <c r="D13" i="18"/>
  <c r="D15" i="18"/>
  <c r="D16" i="18"/>
  <c r="D17" i="18"/>
  <c r="D7" i="18"/>
  <c r="C6" i="16"/>
  <c r="C7" i="16" s="1"/>
  <c r="C6" i="26" s="1"/>
  <c r="D6" i="16"/>
  <c r="E6" i="16"/>
  <c r="F6" i="16"/>
  <c r="G6" i="16"/>
  <c r="D5" i="16"/>
  <c r="D7" i="16" s="1"/>
  <c r="D6" i="26" s="1"/>
  <c r="E5" i="16"/>
  <c r="E7" i="16" s="1"/>
  <c r="E6" i="26" s="1"/>
  <c r="F5" i="16"/>
  <c r="F7" i="16" s="1"/>
  <c r="F6" i="26" s="1"/>
  <c r="G5" i="16"/>
  <c r="G7" i="16" s="1"/>
  <c r="G6" i="26" s="1"/>
  <c r="C5" i="32" s="1"/>
  <c r="C5" i="16"/>
  <c r="I11" i="17"/>
  <c r="J11" i="17"/>
  <c r="K11" i="17"/>
  <c r="L11" i="17"/>
  <c r="M11" i="17"/>
  <c r="N11" i="17"/>
  <c r="O11" i="17"/>
  <c r="P11" i="17"/>
  <c r="Q11" i="17"/>
  <c r="H11" i="17"/>
  <c r="D11" i="17"/>
  <c r="E11" i="17"/>
  <c r="F11" i="17"/>
  <c r="G11" i="17"/>
  <c r="C11" i="17"/>
  <c r="I14" i="17"/>
  <c r="J14" i="17"/>
  <c r="K14" i="17"/>
  <c r="L14" i="17"/>
  <c r="M14" i="17"/>
  <c r="N14" i="17"/>
  <c r="O14" i="17"/>
  <c r="P14" i="17"/>
  <c r="Q14" i="17"/>
  <c r="H14" i="17"/>
  <c r="I21" i="17"/>
  <c r="J21" i="17"/>
  <c r="K21" i="17"/>
  <c r="L21" i="17"/>
  <c r="M21" i="17"/>
  <c r="N21" i="17"/>
  <c r="O21" i="17"/>
  <c r="P21" i="17"/>
  <c r="Q21" i="17"/>
  <c r="H21" i="17"/>
  <c r="D7" i="17"/>
  <c r="E7" i="17"/>
  <c r="F7" i="17"/>
  <c r="G7" i="17"/>
  <c r="C7" i="17"/>
  <c r="E6" i="17"/>
  <c r="F6" i="17"/>
  <c r="G6" i="17"/>
  <c r="D6" i="17"/>
  <c r="C6" i="17"/>
  <c r="G5" i="17"/>
  <c r="F5" i="17"/>
  <c r="D5" i="17"/>
  <c r="E5" i="17"/>
  <c r="C5" i="17"/>
  <c r="Q17" i="17"/>
  <c r="P17" i="17"/>
  <c r="O17" i="17"/>
  <c r="N17" i="17"/>
  <c r="M17" i="17"/>
  <c r="L17" i="17"/>
  <c r="K17" i="17"/>
  <c r="J17" i="17"/>
  <c r="I17" i="17"/>
  <c r="C19" i="25" l="1"/>
  <c r="F19" i="25"/>
  <c r="F23" i="29"/>
  <c r="E15" i="25"/>
  <c r="E18" i="25" s="1"/>
  <c r="D15" i="25"/>
  <c r="D18" i="25" s="1"/>
  <c r="F18" i="30"/>
  <c r="G15" i="25"/>
  <c r="G18" i="25" s="1"/>
  <c r="H22" i="29"/>
  <c r="G22" i="29"/>
  <c r="P17" i="20"/>
  <c r="I17" i="20"/>
  <c r="Q17" i="20"/>
  <c r="J17" i="20"/>
  <c r="H17" i="20"/>
  <c r="K17" i="20"/>
  <c r="L17" i="20"/>
  <c r="M17" i="20"/>
  <c r="N17" i="20"/>
  <c r="O17" i="20"/>
  <c r="E8" i="20"/>
  <c r="E16" i="29" s="1"/>
  <c r="C8" i="20"/>
  <c r="I40" i="20"/>
  <c r="J40" i="20" s="1"/>
  <c r="K40" i="20" s="1"/>
  <c r="L40" i="20" s="1"/>
  <c r="M40" i="20" s="1"/>
  <c r="N40" i="20" s="1"/>
  <c r="O40" i="20" s="1"/>
  <c r="P40" i="20" s="1"/>
  <c r="Q40" i="20" s="1"/>
  <c r="C6" i="19"/>
  <c r="C6" i="32"/>
  <c r="C8" i="26"/>
  <c r="E6" i="19"/>
  <c r="E11" i="33"/>
  <c r="G11" i="33"/>
  <c r="C11" i="33"/>
  <c r="F11" i="33"/>
  <c r="D11" i="33"/>
  <c r="I21" i="25"/>
  <c r="N21" i="25"/>
  <c r="O21" i="25"/>
  <c r="F21" i="25"/>
  <c r="F24" i="25" s="1"/>
  <c r="G21" i="25"/>
  <c r="P21" i="25"/>
  <c r="H21" i="25"/>
  <c r="M21" i="25"/>
  <c r="E21" i="25"/>
  <c r="L21" i="25"/>
  <c r="D21" i="25"/>
  <c r="K21" i="25"/>
  <c r="J21" i="25"/>
  <c r="Q21" i="25"/>
  <c r="I42" i="20"/>
  <c r="I36" i="20"/>
  <c r="I32" i="20" s="1"/>
  <c r="H42" i="20"/>
  <c r="H37" i="20"/>
  <c r="H33" i="20" s="1"/>
  <c r="H8" i="20"/>
  <c r="H18" i="20" s="1"/>
  <c r="M14" i="19"/>
  <c r="P14" i="19"/>
  <c r="L6" i="28"/>
  <c r="M6" i="28" s="1"/>
  <c r="G31" i="28"/>
  <c r="G34" i="28" s="1"/>
  <c r="F31" i="28"/>
  <c r="D31" i="28"/>
  <c r="D34" i="28" s="1"/>
  <c r="C31" i="28"/>
  <c r="C34" i="28" s="1"/>
  <c r="H14" i="28"/>
  <c r="H11" i="28"/>
  <c r="D13" i="27"/>
  <c r="H12" i="27"/>
  <c r="P13" i="27"/>
  <c r="O13" i="27"/>
  <c r="H11" i="27"/>
  <c r="I13" i="27"/>
  <c r="Q13" i="27"/>
  <c r="J13" i="27"/>
  <c r="K13" i="27"/>
  <c r="L13" i="27"/>
  <c r="M13" i="27"/>
  <c r="N13" i="27"/>
  <c r="C21" i="25"/>
  <c r="C24" i="25" s="1"/>
  <c r="C22" i="25"/>
  <c r="D6" i="19"/>
  <c r="M15" i="22"/>
  <c r="N14" i="19"/>
  <c r="O14" i="19"/>
  <c r="F6" i="19"/>
  <c r="G6" i="19"/>
  <c r="K14" i="19"/>
  <c r="J20" i="19"/>
  <c r="F7" i="20"/>
  <c r="G8" i="20"/>
  <c r="G16" i="29" s="1"/>
  <c r="D8" i="20"/>
  <c r="D16" i="29" s="1"/>
  <c r="F8" i="20"/>
  <c r="F16" i="29" s="1"/>
  <c r="L20" i="19"/>
  <c r="G19" i="25" l="1"/>
  <c r="G24" i="25" s="1"/>
  <c r="F34" i="28"/>
  <c r="D19" i="25"/>
  <c r="D24" i="25"/>
  <c r="E19" i="25"/>
  <c r="E24" i="25" s="1"/>
  <c r="H16" i="29"/>
  <c r="C7" i="31" s="1"/>
  <c r="L18" i="20"/>
  <c r="J42" i="20"/>
  <c r="J36" i="20"/>
  <c r="J32" i="20" s="1"/>
  <c r="I43" i="20"/>
  <c r="I37" i="20"/>
  <c r="I33" i="20" s="1"/>
  <c r="O18" i="20"/>
  <c r="M18" i="20"/>
  <c r="N18" i="20"/>
  <c r="I18" i="20"/>
  <c r="J18" i="20"/>
  <c r="K18" i="20"/>
  <c r="N6" i="28"/>
  <c r="I12" i="27"/>
  <c r="Q18" i="20"/>
  <c r="H28" i="20"/>
  <c r="P18" i="20"/>
  <c r="J10" i="15"/>
  <c r="K10" i="15"/>
  <c r="L10" i="15"/>
  <c r="M10" i="15"/>
  <c r="N10" i="15"/>
  <c r="O10" i="15"/>
  <c r="P10" i="15"/>
  <c r="Q10" i="15"/>
  <c r="I10" i="15"/>
  <c r="H10" i="15"/>
  <c r="H7" i="15" s="1"/>
  <c r="I14" i="15"/>
  <c r="J14" i="15"/>
  <c r="K14" i="15"/>
  <c r="L14" i="15"/>
  <c r="M14" i="15"/>
  <c r="N14" i="15"/>
  <c r="O14" i="15"/>
  <c r="P14" i="15"/>
  <c r="Q14" i="15"/>
  <c r="H14" i="15"/>
  <c r="I20" i="15"/>
  <c r="J20" i="15"/>
  <c r="K20" i="15"/>
  <c r="L20" i="15"/>
  <c r="M20" i="15"/>
  <c r="N20" i="15"/>
  <c r="O20" i="15"/>
  <c r="P20" i="15"/>
  <c r="Q20" i="15"/>
  <c r="H20" i="15"/>
  <c r="G17" i="15"/>
  <c r="F17" i="15"/>
  <c r="E17" i="15"/>
  <c r="D17" i="15"/>
  <c r="E6" i="15"/>
  <c r="E7" i="15" s="1"/>
  <c r="F6" i="15"/>
  <c r="G6" i="15"/>
  <c r="D6" i="15"/>
  <c r="C6" i="15"/>
  <c r="C7" i="15" s="1"/>
  <c r="F5" i="15"/>
  <c r="G5" i="15"/>
  <c r="D5" i="15"/>
  <c r="E5" i="15"/>
  <c r="C5" i="15"/>
  <c r="G7" i="15"/>
  <c r="F7" i="15"/>
  <c r="D5" i="14"/>
  <c r="E5" i="14"/>
  <c r="F5" i="14"/>
  <c r="C5" i="14"/>
  <c r="D11" i="13"/>
  <c r="E11" i="13"/>
  <c r="F11" i="13"/>
  <c r="G11" i="13"/>
  <c r="C11" i="13"/>
  <c r="G11" i="12"/>
  <c r="E11" i="12"/>
  <c r="F11" i="12"/>
  <c r="D11" i="12"/>
  <c r="C11" i="12"/>
  <c r="H14" i="12"/>
  <c r="I14" i="12"/>
  <c r="J14" i="12"/>
  <c r="K14" i="12"/>
  <c r="L14" i="12"/>
  <c r="M14" i="12"/>
  <c r="N14" i="12"/>
  <c r="O14" i="12"/>
  <c r="P14" i="12"/>
  <c r="Q14" i="12"/>
  <c r="H15" i="12"/>
  <c r="I15" i="12"/>
  <c r="J15" i="12"/>
  <c r="K15" i="12"/>
  <c r="L15" i="12"/>
  <c r="M15" i="12"/>
  <c r="N15" i="12"/>
  <c r="O15" i="12"/>
  <c r="P15" i="12"/>
  <c r="Q15" i="12"/>
  <c r="H16" i="12"/>
  <c r="I16" i="12"/>
  <c r="J16" i="12"/>
  <c r="K16" i="12"/>
  <c r="L16" i="12"/>
  <c r="M16" i="12"/>
  <c r="N16" i="12"/>
  <c r="O16" i="12"/>
  <c r="P16" i="12"/>
  <c r="Q16" i="12"/>
  <c r="H17" i="12"/>
  <c r="I17" i="12"/>
  <c r="J17" i="12"/>
  <c r="K17" i="12"/>
  <c r="L17" i="12"/>
  <c r="M17" i="12"/>
  <c r="N17" i="12"/>
  <c r="O17" i="12"/>
  <c r="P17" i="12"/>
  <c r="Q17" i="12"/>
  <c r="H18" i="12"/>
  <c r="I18" i="12"/>
  <c r="J18" i="12"/>
  <c r="K18" i="12"/>
  <c r="L18" i="12"/>
  <c r="M18" i="12"/>
  <c r="N18" i="12"/>
  <c r="O18" i="12"/>
  <c r="P18" i="12"/>
  <c r="Q18" i="12"/>
  <c r="H19" i="12"/>
  <c r="I19" i="12"/>
  <c r="J19" i="12"/>
  <c r="K19" i="12"/>
  <c r="L19" i="12"/>
  <c r="M19" i="12"/>
  <c r="N19" i="12"/>
  <c r="O19" i="12"/>
  <c r="P19" i="12"/>
  <c r="Q19" i="12"/>
  <c r="G15" i="12"/>
  <c r="G16" i="12"/>
  <c r="G17" i="12"/>
  <c r="G18" i="12"/>
  <c r="G19" i="12"/>
  <c r="G14" i="12"/>
  <c r="H22" i="12"/>
  <c r="I22" i="12"/>
  <c r="J22" i="12"/>
  <c r="K22" i="12"/>
  <c r="L22" i="12"/>
  <c r="M22" i="12"/>
  <c r="N22" i="12"/>
  <c r="O22" i="12"/>
  <c r="P22" i="12"/>
  <c r="Q22" i="12"/>
  <c r="H23" i="12"/>
  <c r="I23" i="12"/>
  <c r="J23" i="12"/>
  <c r="K23" i="12"/>
  <c r="L23" i="12"/>
  <c r="M23" i="12"/>
  <c r="N23" i="12"/>
  <c r="O23" i="12"/>
  <c r="P23" i="12"/>
  <c r="Q23" i="12"/>
  <c r="H24" i="12"/>
  <c r="I24" i="12"/>
  <c r="J24" i="12"/>
  <c r="K24" i="12"/>
  <c r="L24" i="12"/>
  <c r="M24" i="12"/>
  <c r="N24" i="12"/>
  <c r="O24" i="12"/>
  <c r="P24" i="12"/>
  <c r="Q24" i="12"/>
  <c r="H25" i="12"/>
  <c r="I25" i="12"/>
  <c r="J25" i="12"/>
  <c r="K25" i="12"/>
  <c r="L25" i="12"/>
  <c r="M25" i="12"/>
  <c r="N25" i="12"/>
  <c r="O25" i="12"/>
  <c r="P25" i="12"/>
  <c r="Q25" i="12"/>
  <c r="H26" i="12"/>
  <c r="I26" i="12"/>
  <c r="J26" i="12"/>
  <c r="K26" i="12"/>
  <c r="L26" i="12"/>
  <c r="M26" i="12"/>
  <c r="N26" i="12"/>
  <c r="O26" i="12"/>
  <c r="P26" i="12"/>
  <c r="Q26" i="12"/>
  <c r="H27" i="12"/>
  <c r="I27" i="12"/>
  <c r="J27" i="12"/>
  <c r="K27" i="12"/>
  <c r="L27" i="12"/>
  <c r="M27" i="12"/>
  <c r="N27" i="12"/>
  <c r="O27" i="12"/>
  <c r="P27" i="12"/>
  <c r="Q27" i="12"/>
  <c r="G23" i="12"/>
  <c r="G24" i="12"/>
  <c r="G25" i="12"/>
  <c r="G26" i="12"/>
  <c r="G27" i="12"/>
  <c r="G22" i="12"/>
  <c r="H38" i="12"/>
  <c r="I38" i="12"/>
  <c r="J38" i="12"/>
  <c r="K38" i="12"/>
  <c r="L38" i="12"/>
  <c r="M38" i="12"/>
  <c r="N38" i="12"/>
  <c r="O38" i="12"/>
  <c r="P38" i="12"/>
  <c r="Q38" i="12"/>
  <c r="H39" i="12"/>
  <c r="I39" i="12"/>
  <c r="J39" i="12"/>
  <c r="K39" i="12"/>
  <c r="L39" i="12"/>
  <c r="M39" i="12"/>
  <c r="N39" i="12"/>
  <c r="O39" i="12"/>
  <c r="P39" i="12"/>
  <c r="Q39" i="12"/>
  <c r="H40" i="12"/>
  <c r="I40" i="12"/>
  <c r="J40" i="12"/>
  <c r="K40" i="12"/>
  <c r="L40" i="12"/>
  <c r="M40" i="12"/>
  <c r="N40" i="12"/>
  <c r="O40" i="12"/>
  <c r="P40" i="12"/>
  <c r="Q40" i="12"/>
  <c r="H41" i="12"/>
  <c r="I41" i="12"/>
  <c r="J41" i="12"/>
  <c r="K41" i="12"/>
  <c r="L41" i="12"/>
  <c r="M41" i="12"/>
  <c r="N41" i="12"/>
  <c r="O41" i="12"/>
  <c r="P41" i="12"/>
  <c r="Q41" i="12"/>
  <c r="H42" i="12"/>
  <c r="I42" i="12"/>
  <c r="J42" i="12"/>
  <c r="K42" i="12"/>
  <c r="L42" i="12"/>
  <c r="M42" i="12"/>
  <c r="N42" i="12"/>
  <c r="O42" i="12"/>
  <c r="P42" i="12"/>
  <c r="Q42" i="12"/>
  <c r="H43" i="12"/>
  <c r="I43" i="12"/>
  <c r="J43" i="12"/>
  <c r="K43" i="12"/>
  <c r="L43" i="12"/>
  <c r="M43" i="12"/>
  <c r="N43" i="12"/>
  <c r="O43" i="12"/>
  <c r="P43" i="12"/>
  <c r="Q43" i="12"/>
  <c r="G39" i="12"/>
  <c r="G40" i="12"/>
  <c r="G41" i="12"/>
  <c r="G42" i="12"/>
  <c r="G43" i="12"/>
  <c r="G38" i="12"/>
  <c r="H30" i="12"/>
  <c r="I30" i="12"/>
  <c r="J30" i="12"/>
  <c r="K30" i="12"/>
  <c r="L30" i="12"/>
  <c r="M30" i="12"/>
  <c r="N30" i="12"/>
  <c r="O30" i="12"/>
  <c r="P30" i="12"/>
  <c r="Q30" i="12"/>
  <c r="H31" i="12"/>
  <c r="I31" i="12"/>
  <c r="J31" i="12"/>
  <c r="K31" i="12"/>
  <c r="L31" i="12"/>
  <c r="M31" i="12"/>
  <c r="N31" i="12"/>
  <c r="O31" i="12"/>
  <c r="P31" i="12"/>
  <c r="Q31" i="12"/>
  <c r="H32" i="12"/>
  <c r="I32" i="12"/>
  <c r="J32" i="12"/>
  <c r="K32" i="12"/>
  <c r="L32" i="12"/>
  <c r="M32" i="12"/>
  <c r="N32" i="12"/>
  <c r="O32" i="12"/>
  <c r="P32" i="12"/>
  <c r="Q32" i="12"/>
  <c r="H33" i="12"/>
  <c r="I33" i="12"/>
  <c r="J33" i="12"/>
  <c r="K33" i="12"/>
  <c r="L33" i="12"/>
  <c r="M33" i="12"/>
  <c r="N33" i="12"/>
  <c r="O33" i="12"/>
  <c r="P33" i="12"/>
  <c r="Q33" i="12"/>
  <c r="H34" i="12"/>
  <c r="I34" i="12"/>
  <c r="J34" i="12"/>
  <c r="K34" i="12"/>
  <c r="L34" i="12"/>
  <c r="M34" i="12"/>
  <c r="N34" i="12"/>
  <c r="O34" i="12"/>
  <c r="P34" i="12"/>
  <c r="Q34" i="12"/>
  <c r="H35" i="12"/>
  <c r="I35" i="12"/>
  <c r="J35" i="12"/>
  <c r="K35" i="12"/>
  <c r="L35" i="12"/>
  <c r="M35" i="12"/>
  <c r="N35" i="12"/>
  <c r="O35" i="12"/>
  <c r="P35" i="12"/>
  <c r="Q35" i="12"/>
  <c r="G31" i="12"/>
  <c r="G32" i="12"/>
  <c r="G33" i="12"/>
  <c r="G34" i="12"/>
  <c r="G35" i="12"/>
  <c r="G30" i="12"/>
  <c r="C17" i="11"/>
  <c r="C16" i="11"/>
  <c r="H6" i="11" s="1"/>
  <c r="H9" i="11"/>
  <c r="H10" i="11"/>
  <c r="H11" i="11"/>
  <c r="H8" i="11"/>
  <c r="H7" i="11"/>
  <c r="F11" i="11"/>
  <c r="D10" i="11"/>
  <c r="F9" i="11"/>
  <c r="D9" i="11"/>
  <c r="F8" i="11"/>
  <c r="E8" i="11"/>
  <c r="E7" i="11"/>
  <c r="D7" i="11"/>
  <c r="F6" i="11"/>
  <c r="F10" i="11" s="1"/>
  <c r="E6" i="11"/>
  <c r="E10" i="11" s="1"/>
  <c r="R9" i="10"/>
  <c r="R10" i="10"/>
  <c r="E10" i="10" s="1"/>
  <c r="R8" i="10"/>
  <c r="G8" i="10" s="1"/>
  <c r="R7" i="10"/>
  <c r="G7" i="10" s="1"/>
  <c r="R6" i="10"/>
  <c r="R5" i="10"/>
  <c r="D8" i="10"/>
  <c r="F8" i="10"/>
  <c r="E9" i="10"/>
  <c r="G9" i="10"/>
  <c r="D10" i="10"/>
  <c r="C9" i="10"/>
  <c r="C10" i="10"/>
  <c r="I14" i="10"/>
  <c r="J14" i="10"/>
  <c r="K14" i="10"/>
  <c r="L14" i="10"/>
  <c r="M14" i="10"/>
  <c r="N14" i="10"/>
  <c r="O14" i="10"/>
  <c r="P14" i="10"/>
  <c r="Q14" i="10"/>
  <c r="I15" i="10"/>
  <c r="I6" i="10" s="1"/>
  <c r="J15" i="10"/>
  <c r="J6" i="10" s="1"/>
  <c r="J6" i="33" s="1"/>
  <c r="K15" i="10"/>
  <c r="K6" i="10" s="1"/>
  <c r="L15" i="10"/>
  <c r="M15" i="10"/>
  <c r="M6" i="10" s="1"/>
  <c r="N15" i="10"/>
  <c r="O15" i="10"/>
  <c r="O6" i="10" s="1"/>
  <c r="P15" i="10"/>
  <c r="P6" i="10" s="1"/>
  <c r="Q15" i="10"/>
  <c r="Q6" i="10" s="1"/>
  <c r="I16" i="10"/>
  <c r="J16" i="10"/>
  <c r="K16" i="10"/>
  <c r="L16" i="10"/>
  <c r="M16" i="10"/>
  <c r="N16" i="10"/>
  <c r="O16" i="10"/>
  <c r="P16" i="10"/>
  <c r="Q16" i="10"/>
  <c r="I17" i="10"/>
  <c r="J17" i="10"/>
  <c r="K17" i="10"/>
  <c r="L17" i="10"/>
  <c r="M17" i="10"/>
  <c r="M8" i="10" s="1"/>
  <c r="N17" i="10"/>
  <c r="N8" i="10" s="1"/>
  <c r="O17" i="10"/>
  <c r="P17" i="10"/>
  <c r="P8" i="10" s="1"/>
  <c r="P8" i="33" s="1"/>
  <c r="Q17" i="10"/>
  <c r="I18" i="10"/>
  <c r="I9" i="10" s="1"/>
  <c r="J18" i="10"/>
  <c r="J9" i="10" s="1"/>
  <c r="K18" i="10"/>
  <c r="L18" i="10"/>
  <c r="M18" i="10"/>
  <c r="N18" i="10"/>
  <c r="O18" i="10"/>
  <c r="P18" i="10"/>
  <c r="Q18" i="10"/>
  <c r="Q9" i="10" s="1"/>
  <c r="I19" i="10"/>
  <c r="I10" i="10" s="1"/>
  <c r="I10" i="33" s="1"/>
  <c r="J7" i="34" s="1"/>
  <c r="J19" i="10"/>
  <c r="J10" i="10" s="1"/>
  <c r="J10" i="33" s="1"/>
  <c r="K7" i="34" s="1"/>
  <c r="K19" i="10"/>
  <c r="K10" i="10" s="1"/>
  <c r="L19" i="10"/>
  <c r="L10" i="10" s="1"/>
  <c r="M19" i="10"/>
  <c r="M10" i="10" s="1"/>
  <c r="N19" i="10"/>
  <c r="O19" i="10"/>
  <c r="P19" i="10"/>
  <c r="Q19" i="10"/>
  <c r="Q10" i="10" s="1"/>
  <c r="H15" i="10"/>
  <c r="H6" i="10" s="1"/>
  <c r="H16" i="10"/>
  <c r="H17" i="10"/>
  <c r="H18" i="10"/>
  <c r="H19" i="10"/>
  <c r="H14" i="10"/>
  <c r="F16" i="9"/>
  <c r="F17" i="9"/>
  <c r="F18" i="9"/>
  <c r="F15" i="9"/>
  <c r="F12" i="9"/>
  <c r="F7" i="9"/>
  <c r="D10" i="8"/>
  <c r="D9" i="8"/>
  <c r="D8" i="8"/>
  <c r="D7" i="8"/>
  <c r="D11" i="8" s="1"/>
  <c r="D6" i="8"/>
  <c r="K10" i="5"/>
  <c r="L10" i="5"/>
  <c r="M10" i="5" s="1"/>
  <c r="N10" i="5" s="1"/>
  <c r="O10" i="5" s="1"/>
  <c r="P10" i="5" s="1"/>
  <c r="Q10" i="5" s="1"/>
  <c r="J10" i="5"/>
  <c r="K9" i="5"/>
  <c r="L9" i="5" s="1"/>
  <c r="M9" i="5" s="1"/>
  <c r="N9" i="5" s="1"/>
  <c r="O9" i="5" s="1"/>
  <c r="P9" i="5" s="1"/>
  <c r="Q9" i="5" s="1"/>
  <c r="J9" i="5"/>
  <c r="L8" i="5"/>
  <c r="M8" i="5"/>
  <c r="N8" i="5" s="1"/>
  <c r="O8" i="5" s="1"/>
  <c r="P8" i="5" s="1"/>
  <c r="Q8" i="5" s="1"/>
  <c r="K8" i="5"/>
  <c r="I7" i="5"/>
  <c r="J7" i="5"/>
  <c r="H7" i="5"/>
  <c r="K7" i="5"/>
  <c r="L7" i="5" s="1"/>
  <c r="M7" i="5" s="1"/>
  <c r="N7" i="5" s="1"/>
  <c r="O7" i="5" s="1"/>
  <c r="P7" i="5" s="1"/>
  <c r="Q7" i="5" s="1"/>
  <c r="I6" i="5"/>
  <c r="J6" i="5"/>
  <c r="K6" i="5" s="1"/>
  <c r="L6" i="5" s="1"/>
  <c r="M6" i="5" s="1"/>
  <c r="N6" i="5" s="1"/>
  <c r="O6" i="5" s="1"/>
  <c r="P6" i="5" s="1"/>
  <c r="Q6" i="5" s="1"/>
  <c r="H6" i="5"/>
  <c r="I16" i="5"/>
  <c r="J16" i="5"/>
  <c r="K16" i="5"/>
  <c r="L16" i="5"/>
  <c r="M16" i="5"/>
  <c r="N16" i="5"/>
  <c r="O16" i="5"/>
  <c r="P16" i="5"/>
  <c r="Q16" i="5"/>
  <c r="H16" i="5"/>
  <c r="E16" i="5"/>
  <c r="F16" i="5"/>
  <c r="G16" i="5"/>
  <c r="D16" i="5"/>
  <c r="I5" i="5"/>
  <c r="J5" i="5" s="1"/>
  <c r="K5" i="5" s="1"/>
  <c r="L5" i="5" s="1"/>
  <c r="M5" i="5" s="1"/>
  <c r="N5" i="5" s="1"/>
  <c r="O5" i="5" s="1"/>
  <c r="P5" i="5" s="1"/>
  <c r="Q5" i="5" s="1"/>
  <c r="H5" i="5"/>
  <c r="N15" i="5"/>
  <c r="Q17" i="5" s="1"/>
  <c r="O15" i="5"/>
  <c r="P15" i="5"/>
  <c r="Q15" i="5"/>
  <c r="M15" i="5"/>
  <c r="P17" i="5" s="1"/>
  <c r="L15" i="5"/>
  <c r="O17" i="5" s="1"/>
  <c r="J15" i="5"/>
  <c r="M17" i="5" s="1"/>
  <c r="K15" i="5"/>
  <c r="N17" i="5" s="1"/>
  <c r="I15" i="5"/>
  <c r="L17" i="5" s="1"/>
  <c r="L20" i="5"/>
  <c r="G15" i="5"/>
  <c r="K19" i="5" s="1"/>
  <c r="F15" i="5"/>
  <c r="Q20" i="5"/>
  <c r="P20" i="5"/>
  <c r="O20" i="5"/>
  <c r="N20" i="5"/>
  <c r="M20" i="5"/>
  <c r="Q19" i="5"/>
  <c r="P19" i="5"/>
  <c r="O19" i="5"/>
  <c r="N19" i="5"/>
  <c r="M19" i="5"/>
  <c r="L19" i="5"/>
  <c r="Q18" i="5"/>
  <c r="P18" i="5"/>
  <c r="O18" i="5"/>
  <c r="N18" i="5"/>
  <c r="M18" i="5"/>
  <c r="K17" i="5"/>
  <c r="I17" i="5"/>
  <c r="G11" i="5"/>
  <c r="F11" i="5"/>
  <c r="E11" i="5"/>
  <c r="D11" i="5"/>
  <c r="C11" i="5"/>
  <c r="F38" i="4"/>
  <c r="D38" i="4"/>
  <c r="C38" i="4"/>
  <c r="C34" i="4"/>
  <c r="D31" i="4"/>
  <c r="C31" i="4"/>
  <c r="G27" i="4"/>
  <c r="G31" i="4" s="1"/>
  <c r="F27" i="4"/>
  <c r="F31" i="4" s="1"/>
  <c r="E27" i="4"/>
  <c r="E38" i="4" s="1"/>
  <c r="G18" i="4"/>
  <c r="E15" i="4"/>
  <c r="G9" i="4"/>
  <c r="G39" i="4" s="1"/>
  <c r="F9" i="4"/>
  <c r="F18" i="4" s="1"/>
  <c r="E9" i="4"/>
  <c r="E18" i="4" s="1"/>
  <c r="D9" i="4"/>
  <c r="D18" i="4" s="1"/>
  <c r="C9" i="4"/>
  <c r="C18" i="4" s="1"/>
  <c r="D34" i="3"/>
  <c r="E34" i="3"/>
  <c r="F34" i="3"/>
  <c r="G34" i="3"/>
  <c r="C34" i="3"/>
  <c r="D33" i="3"/>
  <c r="E33" i="3"/>
  <c r="F33" i="3"/>
  <c r="G33" i="3"/>
  <c r="C33" i="3"/>
  <c r="D32" i="3" a="1"/>
  <c r="D32" i="3" s="1"/>
  <c r="E32" i="3" a="1"/>
  <c r="E32" i="3" s="1"/>
  <c r="F32" i="3" a="1"/>
  <c r="F32" i="3" s="1"/>
  <c r="G32" i="3" a="1"/>
  <c r="G32" i="3" s="1"/>
  <c r="C32" i="3" a="1"/>
  <c r="C32" i="3" s="1"/>
  <c r="D29" i="3"/>
  <c r="E29" i="3"/>
  <c r="F29" i="3"/>
  <c r="G29" i="3"/>
  <c r="D30" i="3"/>
  <c r="E30" i="3"/>
  <c r="F30" i="3"/>
  <c r="G30" i="3"/>
  <c r="D31" i="3"/>
  <c r="E31" i="3"/>
  <c r="F31" i="3"/>
  <c r="G31" i="3"/>
  <c r="C31" i="3"/>
  <c r="C30" i="3"/>
  <c r="C29" i="3"/>
  <c r="E28" i="3"/>
  <c r="F28" i="3"/>
  <c r="G28" i="3"/>
  <c r="D28" i="3"/>
  <c r="E27" i="3"/>
  <c r="F27" i="3"/>
  <c r="G27" i="3"/>
  <c r="D27" i="3"/>
  <c r="E26" i="3"/>
  <c r="F26" i="3"/>
  <c r="G26" i="3"/>
  <c r="D26" i="3"/>
  <c r="F11" i="3"/>
  <c r="F15" i="3" s="1"/>
  <c r="F19" i="3" s="1"/>
  <c r="F21" i="3" s="1"/>
  <c r="F23" i="3" s="1"/>
  <c r="G11" i="3"/>
  <c r="G15" i="3" s="1"/>
  <c r="G19" i="3" s="1"/>
  <c r="G21" i="3" s="1"/>
  <c r="G23" i="3" s="1"/>
  <c r="D7" i="3"/>
  <c r="D11" i="3" s="1"/>
  <c r="D15" i="3" s="1"/>
  <c r="D19" i="3" s="1"/>
  <c r="D21" i="3" s="1"/>
  <c r="D23" i="3" s="1"/>
  <c r="E7" i="3"/>
  <c r="E11" i="3" s="1"/>
  <c r="E15" i="3" s="1"/>
  <c r="E19" i="3" s="1"/>
  <c r="E21" i="3" s="1"/>
  <c r="E23" i="3" s="1"/>
  <c r="F7" i="3"/>
  <c r="G7" i="3"/>
  <c r="C7" i="3"/>
  <c r="C11" i="3" s="1"/>
  <c r="C15" i="3" s="1"/>
  <c r="C19" i="3" s="1"/>
  <c r="C21" i="3" s="1"/>
  <c r="C23" i="3" s="1"/>
  <c r="G9" i="12" l="1"/>
  <c r="G9" i="13" s="1"/>
  <c r="G8" i="12"/>
  <c r="G8" i="13" s="1"/>
  <c r="G7" i="12"/>
  <c r="G7" i="13" s="1"/>
  <c r="I7" i="15"/>
  <c r="J7" i="15" s="1"/>
  <c r="M10" i="12"/>
  <c r="L10" i="12"/>
  <c r="L10" i="13" s="1"/>
  <c r="P8" i="12"/>
  <c r="K10" i="12"/>
  <c r="K10" i="13" s="1"/>
  <c r="J6" i="12"/>
  <c r="J6" i="13" s="1"/>
  <c r="I10" i="12"/>
  <c r="I10" i="13" s="1"/>
  <c r="M8" i="12"/>
  <c r="M8" i="13" s="1"/>
  <c r="H6" i="12"/>
  <c r="M6" i="12"/>
  <c r="M6" i="13" s="1"/>
  <c r="I9" i="33"/>
  <c r="J6" i="34" s="1"/>
  <c r="I9" i="12"/>
  <c r="I9" i="13" s="1"/>
  <c r="K6" i="33"/>
  <c r="K6" i="12"/>
  <c r="K6" i="13" s="1"/>
  <c r="J9" i="33"/>
  <c r="K6" i="34" s="1"/>
  <c r="J9" i="12"/>
  <c r="J9" i="13" s="1"/>
  <c r="Q9" i="33"/>
  <c r="R6" i="34" s="1"/>
  <c r="Q9" i="12"/>
  <c r="Q9" i="13" s="1"/>
  <c r="N8" i="12"/>
  <c r="N8" i="13" s="1"/>
  <c r="I6" i="33"/>
  <c r="Q10" i="12"/>
  <c r="Q10" i="13" s="1"/>
  <c r="Q6" i="12"/>
  <c r="Q6" i="13" s="1"/>
  <c r="I6" i="12"/>
  <c r="I6" i="13" s="1"/>
  <c r="N8" i="33"/>
  <c r="K7" i="15"/>
  <c r="J7" i="17"/>
  <c r="J7" i="16" s="1"/>
  <c r="M6" i="33"/>
  <c r="M10" i="33"/>
  <c r="N7" i="34" s="1"/>
  <c r="M10" i="13"/>
  <c r="P6" i="33"/>
  <c r="O6" i="33"/>
  <c r="O6" i="12"/>
  <c r="O6" i="13" s="1"/>
  <c r="Q10" i="33"/>
  <c r="R7" i="34" s="1"/>
  <c r="Q6" i="33"/>
  <c r="L10" i="33"/>
  <c r="M7" i="34" s="1"/>
  <c r="P6" i="12"/>
  <c r="P6" i="13" s="1"/>
  <c r="K10" i="33"/>
  <c r="L7" i="34" s="1"/>
  <c r="M8" i="33"/>
  <c r="H6" i="33"/>
  <c r="H6" i="13"/>
  <c r="H7" i="17"/>
  <c r="H7" i="16" s="1"/>
  <c r="I7" i="17"/>
  <c r="I7" i="16" s="1"/>
  <c r="K9" i="10"/>
  <c r="K9" i="12" s="1"/>
  <c r="P8" i="13"/>
  <c r="J10" i="12"/>
  <c r="J10" i="13" s="1"/>
  <c r="H5" i="10"/>
  <c r="H5" i="12" s="1"/>
  <c r="L6" i="10"/>
  <c r="L6" i="12" s="1"/>
  <c r="J37" i="20"/>
  <c r="J33" i="20" s="1"/>
  <c r="J43" i="20"/>
  <c r="K42" i="20"/>
  <c r="K36" i="20"/>
  <c r="K32" i="20" s="1"/>
  <c r="O6" i="28"/>
  <c r="H9" i="20"/>
  <c r="G43" i="4"/>
  <c r="F43" i="4"/>
  <c r="D43" i="4"/>
  <c r="E43" i="4"/>
  <c r="C43" i="4"/>
  <c r="D7" i="15"/>
  <c r="F9" i="10"/>
  <c r="P9" i="10"/>
  <c r="O9" i="10"/>
  <c r="N9" i="10"/>
  <c r="N9" i="12" s="1"/>
  <c r="M9" i="10"/>
  <c r="D9" i="10"/>
  <c r="L9" i="10"/>
  <c r="L9" i="12" s="1"/>
  <c r="P10" i="10"/>
  <c r="P10" i="12" s="1"/>
  <c r="G10" i="10"/>
  <c r="G10" i="12" s="1"/>
  <c r="G10" i="13" s="1"/>
  <c r="O10" i="10"/>
  <c r="O10" i="12" s="1"/>
  <c r="F10" i="10"/>
  <c r="N10" i="10"/>
  <c r="N10" i="12" s="1"/>
  <c r="O8" i="10"/>
  <c r="E8" i="10"/>
  <c r="C8" i="10"/>
  <c r="L8" i="10"/>
  <c r="L8" i="12" s="1"/>
  <c r="K8" i="10"/>
  <c r="J8" i="10"/>
  <c r="Q8" i="10"/>
  <c r="Q8" i="12" s="1"/>
  <c r="G11" i="10"/>
  <c r="E7" i="10"/>
  <c r="M7" i="10"/>
  <c r="D7" i="10"/>
  <c r="D11" i="10" s="1"/>
  <c r="C7" i="10"/>
  <c r="C11" i="10" s="1"/>
  <c r="C5" i="26" s="1"/>
  <c r="K7" i="10"/>
  <c r="N7" i="10"/>
  <c r="N7" i="12" s="1"/>
  <c r="J7" i="10"/>
  <c r="Q7" i="10"/>
  <c r="I7" i="10"/>
  <c r="F7" i="10"/>
  <c r="F11" i="10" s="1"/>
  <c r="P7" i="10"/>
  <c r="H7" i="10"/>
  <c r="L7" i="10"/>
  <c r="O7" i="10"/>
  <c r="O7" i="12" s="1"/>
  <c r="N6" i="10"/>
  <c r="N5" i="10"/>
  <c r="N5" i="12" s="1"/>
  <c r="M5" i="10"/>
  <c r="M5" i="12" s="1"/>
  <c r="L5" i="10"/>
  <c r="O5" i="10"/>
  <c r="K5" i="10"/>
  <c r="J5" i="10"/>
  <c r="J5" i="12" s="1"/>
  <c r="Q5" i="10"/>
  <c r="Q5" i="12" s="1"/>
  <c r="I5" i="10"/>
  <c r="P5" i="10"/>
  <c r="K20" i="5"/>
  <c r="J17" i="5"/>
  <c r="I11" i="5"/>
  <c r="H11" i="5"/>
  <c r="J19" i="5"/>
  <c r="J20" i="5"/>
  <c r="G45" i="4"/>
  <c r="G34" i="4"/>
  <c r="D45" i="4"/>
  <c r="C45" i="4"/>
  <c r="F45" i="4"/>
  <c r="F34" i="4"/>
  <c r="D34" i="4"/>
  <c r="G38" i="4"/>
  <c r="C39" i="4"/>
  <c r="D39" i="4"/>
  <c r="E39" i="4"/>
  <c r="E31" i="4"/>
  <c r="F39" i="4"/>
  <c r="C27" i="28" l="1"/>
  <c r="C16" i="28"/>
  <c r="C25" i="28"/>
  <c r="C7" i="26"/>
  <c r="C9" i="26" s="1"/>
  <c r="C11" i="26" s="1"/>
  <c r="C14" i="26" s="1"/>
  <c r="C18" i="26" s="1"/>
  <c r="C23" i="28"/>
  <c r="C30" i="28"/>
  <c r="C10" i="28"/>
  <c r="C21" i="28"/>
  <c r="D5" i="26"/>
  <c r="C4" i="14"/>
  <c r="C6" i="14" s="1"/>
  <c r="F5" i="26"/>
  <c r="E4" i="14"/>
  <c r="E6" i="14" s="1"/>
  <c r="G5" i="26"/>
  <c r="F4" i="14"/>
  <c r="F6" i="14" s="1"/>
  <c r="P5" i="33"/>
  <c r="P5" i="12"/>
  <c r="P5" i="13" s="1"/>
  <c r="O8" i="33"/>
  <c r="K11" i="10"/>
  <c r="K5" i="33"/>
  <c r="L7" i="33"/>
  <c r="K7" i="33"/>
  <c r="K7" i="12"/>
  <c r="K7" i="13" s="1"/>
  <c r="L7" i="12"/>
  <c r="L7" i="13" s="1"/>
  <c r="L5" i="33"/>
  <c r="P7" i="33"/>
  <c r="L9" i="33"/>
  <c r="M6" i="34" s="1"/>
  <c r="L9" i="13"/>
  <c r="L6" i="33"/>
  <c r="L6" i="13"/>
  <c r="L7" i="15"/>
  <c r="K7" i="17"/>
  <c r="K7" i="16" s="1"/>
  <c r="P7" i="12"/>
  <c r="P7" i="13" s="1"/>
  <c r="M7" i="33"/>
  <c r="M7" i="13"/>
  <c r="M7" i="12"/>
  <c r="I7" i="33"/>
  <c r="H11" i="10"/>
  <c r="I11" i="10"/>
  <c r="I5" i="33"/>
  <c r="Q7" i="33"/>
  <c r="N10" i="33"/>
  <c r="O7" i="34" s="1"/>
  <c r="N10" i="13"/>
  <c r="N9" i="33"/>
  <c r="O6" i="34" s="1"/>
  <c r="N9" i="13"/>
  <c r="Q5" i="33"/>
  <c r="Q5" i="13"/>
  <c r="N6" i="33"/>
  <c r="N6" i="12"/>
  <c r="N6" i="13" s="1"/>
  <c r="J7" i="33"/>
  <c r="J7" i="12"/>
  <c r="J7" i="13" s="1"/>
  <c r="Q8" i="33"/>
  <c r="Q8" i="13"/>
  <c r="O9" i="33"/>
  <c r="P6" i="34" s="1"/>
  <c r="O9" i="12"/>
  <c r="O9" i="13" s="1"/>
  <c r="I7" i="12"/>
  <c r="I7" i="13" s="1"/>
  <c r="N5" i="33"/>
  <c r="N5" i="13"/>
  <c r="J5" i="33"/>
  <c r="J5" i="13"/>
  <c r="O7" i="33"/>
  <c r="O7" i="13"/>
  <c r="N7" i="33"/>
  <c r="N7" i="13"/>
  <c r="J8" i="33"/>
  <c r="J8" i="12"/>
  <c r="J8" i="13"/>
  <c r="O10" i="33"/>
  <c r="P7" i="34" s="1"/>
  <c r="O10" i="13"/>
  <c r="P9" i="33"/>
  <c r="Q6" i="34" s="1"/>
  <c r="Q7" i="12"/>
  <c r="Q11" i="12" s="1"/>
  <c r="P5" i="14" s="1"/>
  <c r="M5" i="33"/>
  <c r="M5" i="13"/>
  <c r="M9" i="33"/>
  <c r="N6" i="34" s="1"/>
  <c r="K8" i="33"/>
  <c r="K8" i="12"/>
  <c r="K8" i="13" s="1"/>
  <c r="K5" i="12"/>
  <c r="O8" i="12"/>
  <c r="O8" i="13" s="1"/>
  <c r="H5" i="33"/>
  <c r="H5" i="13"/>
  <c r="O5" i="33"/>
  <c r="O5" i="12"/>
  <c r="H7" i="33"/>
  <c r="H7" i="12"/>
  <c r="H11" i="12" s="1"/>
  <c r="G5" i="14" s="1"/>
  <c r="L8" i="33"/>
  <c r="L8" i="13"/>
  <c r="P10" i="33"/>
  <c r="Q7" i="34" s="1"/>
  <c r="P10" i="13"/>
  <c r="K9" i="33"/>
  <c r="L6" i="34" s="1"/>
  <c r="K9" i="13"/>
  <c r="P9" i="12"/>
  <c r="P9" i="13" s="1"/>
  <c r="I5" i="12"/>
  <c r="I5" i="13" s="1"/>
  <c r="L5" i="12"/>
  <c r="L11" i="12" s="1"/>
  <c r="K5" i="14" s="1"/>
  <c r="M9" i="12"/>
  <c r="M9" i="13" s="1"/>
  <c r="L42" i="20"/>
  <c r="L36" i="20"/>
  <c r="L32" i="20" s="1"/>
  <c r="K37" i="20"/>
  <c r="K33" i="20" s="1"/>
  <c r="K43" i="20"/>
  <c r="H10" i="20"/>
  <c r="H8" i="29"/>
  <c r="P6" i="28"/>
  <c r="Q11" i="10"/>
  <c r="E11" i="10"/>
  <c r="J11" i="10"/>
  <c r="O11" i="10"/>
  <c r="L11" i="10"/>
  <c r="M11" i="10"/>
  <c r="P11" i="10"/>
  <c r="N11" i="10"/>
  <c r="J11" i="5"/>
  <c r="E45" i="4"/>
  <c r="E34" i="4"/>
  <c r="G30" i="28" l="1"/>
  <c r="C4" i="32"/>
  <c r="G16" i="28"/>
  <c r="G7" i="26"/>
  <c r="G9" i="26" s="1"/>
  <c r="G10" i="28"/>
  <c r="G27" i="28"/>
  <c r="G25" i="28"/>
  <c r="G23" i="28"/>
  <c r="G21" i="28"/>
  <c r="F16" i="28"/>
  <c r="F7" i="26"/>
  <c r="F9" i="26" s="1"/>
  <c r="F10" i="28"/>
  <c r="F30" i="28"/>
  <c r="F25" i="28"/>
  <c r="F21" i="28"/>
  <c r="F27" i="28"/>
  <c r="F23" i="28"/>
  <c r="E5" i="26"/>
  <c r="D4" i="14"/>
  <c r="D6" i="14" s="1"/>
  <c r="D7" i="26"/>
  <c r="D9" i="26" s="1"/>
  <c r="D10" i="28"/>
  <c r="D30" i="28"/>
  <c r="D16" i="28"/>
  <c r="D25" i="28"/>
  <c r="D27" i="28"/>
  <c r="D21" i="28"/>
  <c r="D23" i="28"/>
  <c r="J11" i="12"/>
  <c r="I5" i="14" s="1"/>
  <c r="K5" i="34"/>
  <c r="K8" i="34" s="1"/>
  <c r="Q11" i="33"/>
  <c r="M11" i="12"/>
  <c r="L5" i="14" s="1"/>
  <c r="J11" i="33"/>
  <c r="H7" i="13"/>
  <c r="H11" i="13" s="1"/>
  <c r="H6" i="26" s="1"/>
  <c r="J5" i="34"/>
  <c r="J8" i="34" s="1"/>
  <c r="J11" i="13"/>
  <c r="J6" i="26" s="1"/>
  <c r="J7" i="23" s="1"/>
  <c r="J19" i="28" s="1"/>
  <c r="K11" i="33"/>
  <c r="C5" i="31"/>
  <c r="R5" i="34"/>
  <c r="R8" i="34" s="1"/>
  <c r="P11" i="12"/>
  <c r="O5" i="14" s="1"/>
  <c r="O4" i="14"/>
  <c r="I5" i="34"/>
  <c r="I8" i="34" s="1"/>
  <c r="H11" i="33"/>
  <c r="L4" i="14"/>
  <c r="I11" i="12"/>
  <c r="H5" i="14" s="1"/>
  <c r="M11" i="13"/>
  <c r="N11" i="13"/>
  <c r="I5" i="26"/>
  <c r="I5" i="19"/>
  <c r="I7" i="19" s="1"/>
  <c r="I8" i="26" s="1"/>
  <c r="H4" i="14"/>
  <c r="Q5" i="34"/>
  <c r="Q8" i="34" s="1"/>
  <c r="P11" i="33"/>
  <c r="L5" i="19"/>
  <c r="L7" i="19" s="1"/>
  <c r="L8" i="26" s="1"/>
  <c r="L5" i="26"/>
  <c r="K4" i="14"/>
  <c r="K6" i="14" s="1"/>
  <c r="K11" i="12"/>
  <c r="J5" i="14" s="1"/>
  <c r="M11" i="33"/>
  <c r="N5" i="34"/>
  <c r="N8" i="34" s="1"/>
  <c r="N11" i="33"/>
  <c r="O5" i="34"/>
  <c r="O8" i="34" s="1"/>
  <c r="H5" i="19"/>
  <c r="H7" i="19" s="1"/>
  <c r="H8" i="26" s="1"/>
  <c r="H5" i="26"/>
  <c r="G4" i="14"/>
  <c r="G6" i="14" s="1"/>
  <c r="L5" i="13"/>
  <c r="L11" i="13" s="1"/>
  <c r="K5" i="13"/>
  <c r="K11" i="13" s="1"/>
  <c r="K6" i="26" s="1"/>
  <c r="N11" i="12"/>
  <c r="M5" i="14" s="1"/>
  <c r="M7" i="15"/>
  <c r="L7" i="17"/>
  <c r="L7" i="16" s="1"/>
  <c r="M5" i="34"/>
  <c r="M8" i="34" s="1"/>
  <c r="L5" i="34"/>
  <c r="L8" i="34" s="1"/>
  <c r="P4" i="14"/>
  <c r="P6" i="14" s="1"/>
  <c r="M4" i="14"/>
  <c r="P11" i="13"/>
  <c r="N4" i="14"/>
  <c r="O11" i="12"/>
  <c r="N5" i="14" s="1"/>
  <c r="I11" i="33"/>
  <c r="K5" i="19"/>
  <c r="K7" i="19" s="1"/>
  <c r="K8" i="26" s="1"/>
  <c r="K5" i="26"/>
  <c r="J4" i="14"/>
  <c r="O11" i="33"/>
  <c r="P5" i="34"/>
  <c r="P8" i="34" s="1"/>
  <c r="I11" i="13"/>
  <c r="I6" i="26" s="1"/>
  <c r="J5" i="19"/>
  <c r="J7" i="19" s="1"/>
  <c r="J8" i="26" s="1"/>
  <c r="J5" i="26"/>
  <c r="I4" i="14"/>
  <c r="I6" i="14" s="1"/>
  <c r="O5" i="13"/>
  <c r="O11" i="13" s="1"/>
  <c r="Q7" i="13"/>
  <c r="Q11" i="13" s="1"/>
  <c r="L11" i="33"/>
  <c r="L43" i="20"/>
  <c r="L37" i="20"/>
  <c r="L33" i="20" s="1"/>
  <c r="M36" i="20"/>
  <c r="M32" i="20" s="1"/>
  <c r="M42" i="20"/>
  <c r="I7" i="20"/>
  <c r="I8" i="20" s="1"/>
  <c r="H13" i="28"/>
  <c r="Q6" i="28"/>
  <c r="K11" i="5"/>
  <c r="J6" i="23" l="1"/>
  <c r="J8" i="28" s="1"/>
  <c r="I27" i="28"/>
  <c r="O27" i="28"/>
  <c r="P27" i="28"/>
  <c r="J27" i="28"/>
  <c r="H27" i="28"/>
  <c r="L27" i="28"/>
  <c r="N27" i="28"/>
  <c r="M27" i="28"/>
  <c r="Q27" i="28"/>
  <c r="K27" i="28"/>
  <c r="J21" i="28"/>
  <c r="K21" i="28"/>
  <c r="P21" i="28"/>
  <c r="L21" i="28"/>
  <c r="N21" i="28"/>
  <c r="H21" i="28"/>
  <c r="Q21" i="28"/>
  <c r="O21" i="28"/>
  <c r="I21" i="28"/>
  <c r="M21" i="28"/>
  <c r="M25" i="28"/>
  <c r="I25" i="28"/>
  <c r="L25" i="28"/>
  <c r="Q25" i="28"/>
  <c r="K25" i="28"/>
  <c r="J25" i="28"/>
  <c r="N25" i="28"/>
  <c r="O25" i="28"/>
  <c r="H25" i="28"/>
  <c r="P25" i="28"/>
  <c r="P30" i="28"/>
  <c r="H30" i="28"/>
  <c r="M30" i="28"/>
  <c r="O30" i="28"/>
  <c r="N30" i="28"/>
  <c r="J30" i="28"/>
  <c r="L30" i="28"/>
  <c r="K30" i="28"/>
  <c r="K29" i="28" s="1"/>
  <c r="Q30" i="28"/>
  <c r="I30" i="28"/>
  <c r="I29" i="28" s="1"/>
  <c r="D5" i="29"/>
  <c r="D7" i="29" s="1"/>
  <c r="D9" i="29" s="1"/>
  <c r="D20" i="29" s="1"/>
  <c r="D11" i="26"/>
  <c r="D14" i="26" s="1"/>
  <c r="P10" i="28"/>
  <c r="I10" i="28"/>
  <c r="Q10" i="28"/>
  <c r="J10" i="28"/>
  <c r="K10" i="28"/>
  <c r="L10" i="28"/>
  <c r="M10" i="28"/>
  <c r="N10" i="28"/>
  <c r="O10" i="28"/>
  <c r="H10" i="28"/>
  <c r="G5" i="29"/>
  <c r="G7" i="29" s="1"/>
  <c r="G9" i="29" s="1"/>
  <c r="G20" i="29" s="1"/>
  <c r="G11" i="26"/>
  <c r="G14" i="26" s="1"/>
  <c r="L6" i="14"/>
  <c r="F11" i="26"/>
  <c r="F14" i="26" s="1"/>
  <c r="F5" i="29"/>
  <c r="F7" i="29" s="1"/>
  <c r="F9" i="29" s="1"/>
  <c r="F20" i="29" s="1"/>
  <c r="E7" i="26"/>
  <c r="E9" i="26" s="1"/>
  <c r="E10" i="28"/>
  <c r="E30" i="28"/>
  <c r="E16" i="28"/>
  <c r="E23" i="28"/>
  <c r="E25" i="28"/>
  <c r="E21" i="28"/>
  <c r="E27" i="28"/>
  <c r="L16" i="28"/>
  <c r="M16" i="28"/>
  <c r="N16" i="28"/>
  <c r="O16" i="28"/>
  <c r="P16" i="28"/>
  <c r="I16" i="28"/>
  <c r="Q16" i="28"/>
  <c r="J16" i="28"/>
  <c r="J15" i="28" s="1"/>
  <c r="K16" i="28"/>
  <c r="H16" i="28"/>
  <c r="K23" i="28"/>
  <c r="Q23" i="28"/>
  <c r="I23" i="28"/>
  <c r="I22" i="28" s="1"/>
  <c r="M23" i="28"/>
  <c r="J23" i="28"/>
  <c r="P23" i="28"/>
  <c r="N23" i="28"/>
  <c r="O23" i="28"/>
  <c r="H23" i="28"/>
  <c r="L23" i="28"/>
  <c r="L22" i="28" s="1"/>
  <c r="N6" i="14"/>
  <c r="H7" i="23"/>
  <c r="H19" i="28" s="1"/>
  <c r="H13" i="29" s="1"/>
  <c r="H6" i="23"/>
  <c r="H8" i="28" s="1"/>
  <c r="H12" i="29" s="1"/>
  <c r="C12" i="32"/>
  <c r="J6" i="14"/>
  <c r="H6" i="14"/>
  <c r="K7" i="23"/>
  <c r="K19" i="28" s="1"/>
  <c r="K13" i="29" s="1"/>
  <c r="K6" i="23"/>
  <c r="K8" i="28" s="1"/>
  <c r="K12" i="29" s="1"/>
  <c r="K9" i="28"/>
  <c r="K26" i="28"/>
  <c r="K24" i="28"/>
  <c r="K15" i="28"/>
  <c r="K20" i="28"/>
  <c r="K5" i="23"/>
  <c r="K7" i="26"/>
  <c r="K9" i="26" s="1"/>
  <c r="K5" i="29" s="1"/>
  <c r="K22" i="28"/>
  <c r="I24" i="28"/>
  <c r="I15" i="28"/>
  <c r="I20" i="28"/>
  <c r="I26" i="28"/>
  <c r="I5" i="23"/>
  <c r="I7" i="26"/>
  <c r="I9" i="26" s="1"/>
  <c r="I9" i="28"/>
  <c r="N7" i="15"/>
  <c r="M7" i="17"/>
  <c r="M7" i="16" s="1"/>
  <c r="M6" i="26" s="1"/>
  <c r="C11" i="32"/>
  <c r="H9" i="28"/>
  <c r="H22" i="28"/>
  <c r="H15" i="28"/>
  <c r="H24" i="28"/>
  <c r="H29" i="28"/>
  <c r="H20" i="28"/>
  <c r="H7" i="26"/>
  <c r="H9" i="26" s="1"/>
  <c r="H26" i="28"/>
  <c r="H5" i="23"/>
  <c r="L26" i="28"/>
  <c r="L5" i="23"/>
  <c r="L9" i="28"/>
  <c r="L24" i="28"/>
  <c r="L15" i="28"/>
  <c r="L29" i="28"/>
  <c r="L20" i="28"/>
  <c r="I7" i="23"/>
  <c r="I19" i="28" s="1"/>
  <c r="I6" i="23"/>
  <c r="I8" i="28" s="1"/>
  <c r="I12" i="29" s="1"/>
  <c r="C13" i="32"/>
  <c r="O6" i="14"/>
  <c r="L6" i="26"/>
  <c r="L7" i="26" s="1"/>
  <c r="L9" i="26" s="1"/>
  <c r="L5" i="29" s="1"/>
  <c r="M5" i="26"/>
  <c r="J9" i="28"/>
  <c r="J24" i="28"/>
  <c r="J29" i="28"/>
  <c r="J20" i="28"/>
  <c r="J22" i="28"/>
  <c r="J26" i="28"/>
  <c r="J5" i="23"/>
  <c r="J7" i="26"/>
  <c r="J9" i="26" s="1"/>
  <c r="J5" i="29" s="1"/>
  <c r="M6" i="14"/>
  <c r="M5" i="19"/>
  <c r="M7" i="19" s="1"/>
  <c r="M8" i="26" s="1"/>
  <c r="M37" i="20"/>
  <c r="M33" i="20" s="1"/>
  <c r="M43" i="20"/>
  <c r="N36" i="20"/>
  <c r="N32" i="20" s="1"/>
  <c r="N42" i="20"/>
  <c r="I16" i="29"/>
  <c r="N19" i="20"/>
  <c r="Q19" i="20"/>
  <c r="K19" i="20"/>
  <c r="I19" i="20"/>
  <c r="I28" i="20" s="1"/>
  <c r="I9" i="20" s="1"/>
  <c r="P19" i="20"/>
  <c r="L19" i="20"/>
  <c r="M19" i="20"/>
  <c r="J19" i="20"/>
  <c r="O19" i="20"/>
  <c r="L11" i="5"/>
  <c r="I13" i="29" l="1"/>
  <c r="F18" i="26"/>
  <c r="C3" i="32"/>
  <c r="F24" i="29"/>
  <c r="F28" i="29" s="1"/>
  <c r="F31" i="29" s="1"/>
  <c r="C10" i="32"/>
  <c r="G24" i="29"/>
  <c r="G28" i="29" s="1"/>
  <c r="G18" i="26"/>
  <c r="E5" i="29"/>
  <c r="E7" i="29" s="1"/>
  <c r="E9" i="29" s="1"/>
  <c r="E20" i="29" s="1"/>
  <c r="E11" i="26"/>
  <c r="E14" i="26" s="1"/>
  <c r="D18" i="26"/>
  <c r="D24" i="29"/>
  <c r="D28" i="29" s="1"/>
  <c r="D31" i="29" s="1"/>
  <c r="D32" i="29" s="1"/>
  <c r="E30" i="29" s="1"/>
  <c r="H5" i="29"/>
  <c r="H11" i="26"/>
  <c r="M7" i="23"/>
  <c r="M19" i="28" s="1"/>
  <c r="M6" i="23"/>
  <c r="M8" i="28" s="1"/>
  <c r="L6" i="29"/>
  <c r="L7" i="29" s="1"/>
  <c r="I11" i="26"/>
  <c r="I5" i="29"/>
  <c r="K6" i="29"/>
  <c r="K7" i="29" s="1"/>
  <c r="L7" i="28"/>
  <c r="L7" i="23"/>
  <c r="L19" i="28" s="1"/>
  <c r="L13" i="29" s="1"/>
  <c r="L6" i="23"/>
  <c r="L8" i="28" s="1"/>
  <c r="L12" i="29" s="1"/>
  <c r="L18" i="29"/>
  <c r="J8" i="23"/>
  <c r="J7" i="28"/>
  <c r="O7" i="15"/>
  <c r="N7" i="17"/>
  <c r="N7" i="16" s="1"/>
  <c r="N6" i="26" s="1"/>
  <c r="N5" i="26"/>
  <c r="N5" i="19"/>
  <c r="N7" i="19" s="1"/>
  <c r="N8" i="26" s="1"/>
  <c r="I17" i="29"/>
  <c r="J18" i="29"/>
  <c r="H8" i="23"/>
  <c r="H7" i="28"/>
  <c r="H11" i="29" s="1"/>
  <c r="H14" i="29" s="1"/>
  <c r="C6" i="31" s="1"/>
  <c r="H17" i="29"/>
  <c r="I8" i="23"/>
  <c r="I7" i="28"/>
  <c r="J12" i="29"/>
  <c r="K17" i="29"/>
  <c r="J6" i="29"/>
  <c r="J7" i="29" s="1"/>
  <c r="L17" i="29"/>
  <c r="H18" i="29"/>
  <c r="I18" i="29"/>
  <c r="K8" i="23"/>
  <c r="K7" i="28"/>
  <c r="M22" i="28"/>
  <c r="M26" i="28"/>
  <c r="M5" i="23"/>
  <c r="M7" i="26"/>
  <c r="M9" i="26" s="1"/>
  <c r="M5" i="29" s="1"/>
  <c r="M6" i="29" s="1"/>
  <c r="M7" i="29" s="1"/>
  <c r="M9" i="28"/>
  <c r="M24" i="28"/>
  <c r="M15" i="28"/>
  <c r="M29" i="28"/>
  <c r="M20" i="28"/>
  <c r="J13" i="29"/>
  <c r="J17" i="29"/>
  <c r="K18" i="29"/>
  <c r="O42" i="20"/>
  <c r="O36" i="20"/>
  <c r="O32" i="20" s="1"/>
  <c r="N43" i="20"/>
  <c r="N37" i="20"/>
  <c r="N33" i="20" s="1"/>
  <c r="I10" i="20"/>
  <c r="I8" i="29"/>
  <c r="M11" i="5"/>
  <c r="E18" i="26" l="1"/>
  <c r="E24" i="29"/>
  <c r="E28" i="29" s="1"/>
  <c r="E31" i="29" s="1"/>
  <c r="E32" i="29" s="1"/>
  <c r="F30" i="29" s="1"/>
  <c r="F32" i="29" s="1"/>
  <c r="G30" i="29" s="1"/>
  <c r="G32" i="29" s="1"/>
  <c r="H30" i="29" s="1"/>
  <c r="G31" i="29"/>
  <c r="C3" i="31"/>
  <c r="M18" i="29"/>
  <c r="K11" i="29"/>
  <c r="K14" i="29" s="1"/>
  <c r="I11" i="29"/>
  <c r="I14" i="29" s="1"/>
  <c r="N6" i="23"/>
  <c r="N8" i="28" s="1"/>
  <c r="N12" i="29" s="1"/>
  <c r="N7" i="23"/>
  <c r="N19" i="28" s="1"/>
  <c r="N13" i="29" s="1"/>
  <c r="I6" i="29"/>
  <c r="I7" i="29" s="1"/>
  <c r="I9" i="29" s="1"/>
  <c r="M17" i="29"/>
  <c r="L11" i="29"/>
  <c r="L14" i="29" s="1"/>
  <c r="M12" i="29"/>
  <c r="I12" i="26"/>
  <c r="M13" i="29"/>
  <c r="L8" i="23"/>
  <c r="M7" i="28"/>
  <c r="M11" i="29" s="1"/>
  <c r="M8" i="23"/>
  <c r="P7" i="15"/>
  <c r="O7" i="17"/>
  <c r="O7" i="16" s="1"/>
  <c r="O6" i="26" s="1"/>
  <c r="O5" i="26"/>
  <c r="O5" i="19"/>
  <c r="O7" i="19" s="1"/>
  <c r="O8" i="26" s="1"/>
  <c r="H12" i="26"/>
  <c r="H14" i="26" s="1"/>
  <c r="C16" i="32" s="1"/>
  <c r="N22" i="28"/>
  <c r="N26" i="28"/>
  <c r="N5" i="23"/>
  <c r="N7" i="26"/>
  <c r="N9" i="26" s="1"/>
  <c r="N5" i="29" s="1"/>
  <c r="N6" i="29" s="1"/>
  <c r="N7" i="29" s="1"/>
  <c r="N9" i="28"/>
  <c r="N20" i="28"/>
  <c r="N24" i="28"/>
  <c r="N15" i="28"/>
  <c r="N29" i="28"/>
  <c r="J11" i="29"/>
  <c r="J14" i="29" s="1"/>
  <c r="H6" i="29"/>
  <c r="H7" i="29"/>
  <c r="O43" i="20"/>
  <c r="O37" i="20"/>
  <c r="O33" i="20" s="1"/>
  <c r="P42" i="20"/>
  <c r="P36" i="20"/>
  <c r="P32" i="20" s="1"/>
  <c r="J7" i="20"/>
  <c r="J8" i="20" s="1"/>
  <c r="I13" i="28"/>
  <c r="N11" i="5"/>
  <c r="I20" i="29" l="1"/>
  <c r="I6" i="30" s="1"/>
  <c r="I25" i="29"/>
  <c r="O6" i="23"/>
  <c r="O8" i="28" s="1"/>
  <c r="O12" i="29" s="1"/>
  <c r="O7" i="23"/>
  <c r="O19" i="28" s="1"/>
  <c r="O13" i="29" s="1"/>
  <c r="M14" i="29"/>
  <c r="O9" i="26"/>
  <c r="O5" i="29" s="1"/>
  <c r="Q7" i="15"/>
  <c r="P7" i="17"/>
  <c r="P7" i="16" s="1"/>
  <c r="P6" i="26" s="1"/>
  <c r="P5" i="26"/>
  <c r="P5" i="19"/>
  <c r="P7" i="19" s="1"/>
  <c r="P8" i="26" s="1"/>
  <c r="N17" i="29"/>
  <c r="O29" i="28"/>
  <c r="O20" i="28"/>
  <c r="O15" i="28"/>
  <c r="O22" i="28"/>
  <c r="O26" i="28"/>
  <c r="O5" i="23"/>
  <c r="O7" i="26"/>
  <c r="O9" i="28"/>
  <c r="O24" i="28"/>
  <c r="I18" i="27"/>
  <c r="I19" i="27" s="1"/>
  <c r="H25" i="29"/>
  <c r="C15" i="32"/>
  <c r="N14" i="29"/>
  <c r="N18" i="29"/>
  <c r="C4" i="31"/>
  <c r="H9" i="29"/>
  <c r="H20" i="29" s="1"/>
  <c r="N7" i="28"/>
  <c r="N11" i="29" s="1"/>
  <c r="N8" i="23"/>
  <c r="I14" i="26"/>
  <c r="Q42" i="20"/>
  <c r="Q36" i="20"/>
  <c r="Q32" i="20" s="1"/>
  <c r="P43" i="20"/>
  <c r="P37" i="20"/>
  <c r="P33" i="20" s="1"/>
  <c r="J16" i="29"/>
  <c r="P20" i="20"/>
  <c r="O20" i="20"/>
  <c r="N20" i="20"/>
  <c r="M20" i="20"/>
  <c r="L20" i="20"/>
  <c r="K20" i="20"/>
  <c r="Q20" i="20"/>
  <c r="J20" i="20"/>
  <c r="J28" i="20" s="1"/>
  <c r="J9" i="20" s="1"/>
  <c r="O11" i="5"/>
  <c r="P7" i="23" l="1"/>
  <c r="P19" i="28" s="1"/>
  <c r="P13" i="29" s="1"/>
  <c r="P6" i="23"/>
  <c r="P8" i="28" s="1"/>
  <c r="P12" i="29" s="1"/>
  <c r="O18" i="29"/>
  <c r="O6" i="29"/>
  <c r="O7" i="29" s="1"/>
  <c r="Q7" i="17"/>
  <c r="Q7" i="16" s="1"/>
  <c r="Q6" i="26" s="1"/>
  <c r="Q5" i="26"/>
  <c r="Q5" i="19"/>
  <c r="Q7" i="19" s="1"/>
  <c r="Q8" i="26" s="1"/>
  <c r="O17" i="29"/>
  <c r="I20" i="27"/>
  <c r="H6" i="30"/>
  <c r="H18" i="27"/>
  <c r="O7" i="28"/>
  <c r="O11" i="29" s="1"/>
  <c r="O14" i="29" s="1"/>
  <c r="O8" i="23"/>
  <c r="P15" i="28"/>
  <c r="P29" i="28"/>
  <c r="P20" i="28"/>
  <c r="P22" i="28"/>
  <c r="P26" i="28"/>
  <c r="P5" i="23"/>
  <c r="P7" i="26"/>
  <c r="P9" i="26" s="1"/>
  <c r="P5" i="29" s="1"/>
  <c r="P24" i="28"/>
  <c r="P9" i="28"/>
  <c r="P17" i="29" s="1"/>
  <c r="Q43" i="20"/>
  <c r="Q37" i="20"/>
  <c r="Q33" i="20" s="1"/>
  <c r="J10" i="20"/>
  <c r="J8" i="29"/>
  <c r="J9" i="29" s="1"/>
  <c r="J20" i="29" s="1"/>
  <c r="J6" i="30" s="1"/>
  <c r="P11" i="5"/>
  <c r="Q11" i="5"/>
  <c r="P6" i="29" l="1"/>
  <c r="P7" i="29" s="1"/>
  <c r="Q24" i="28"/>
  <c r="Q15" i="28"/>
  <c r="Q29" i="28"/>
  <c r="Q20" i="28"/>
  <c r="Q9" i="28"/>
  <c r="Q17" i="29" s="1"/>
  <c r="Q22" i="28"/>
  <c r="Q26" i="28"/>
  <c r="Q5" i="23"/>
  <c r="Q7" i="26"/>
  <c r="Q9" i="26" s="1"/>
  <c r="Q5" i="29" s="1"/>
  <c r="Q6" i="29" s="1"/>
  <c r="Q7" i="29" s="1"/>
  <c r="H20" i="27"/>
  <c r="H32" i="28" s="1"/>
  <c r="H19" i="27"/>
  <c r="H28" i="28" s="1"/>
  <c r="Q7" i="23"/>
  <c r="Q19" i="28" s="1"/>
  <c r="Q13" i="29" s="1"/>
  <c r="Q6" i="23"/>
  <c r="Q8" i="28" s="1"/>
  <c r="Q12" i="29" s="1"/>
  <c r="P8" i="23"/>
  <c r="P7" i="28"/>
  <c r="P11" i="29" s="1"/>
  <c r="P14" i="29" s="1"/>
  <c r="P18" i="29"/>
  <c r="J18" i="27"/>
  <c r="K7" i="20"/>
  <c r="K8" i="20" s="1"/>
  <c r="J13" i="28"/>
  <c r="C22" i="31" l="1"/>
  <c r="Q18" i="29"/>
  <c r="H16" i="25"/>
  <c r="I32" i="28"/>
  <c r="Q8" i="23"/>
  <c r="Q7" i="28"/>
  <c r="Q11" i="29" s="1"/>
  <c r="Q14" i="29" s="1"/>
  <c r="C24" i="31" s="1"/>
  <c r="H15" i="25"/>
  <c r="H18" i="25" s="1"/>
  <c r="I28" i="28"/>
  <c r="K16" i="29"/>
  <c r="Q21" i="20"/>
  <c r="P21" i="20"/>
  <c r="O21" i="20"/>
  <c r="N21" i="20"/>
  <c r="M21" i="20"/>
  <c r="L21" i="20"/>
  <c r="K21" i="20"/>
  <c r="K28" i="20" s="1"/>
  <c r="K9" i="20" s="1"/>
  <c r="J20" i="27"/>
  <c r="J19" i="27"/>
  <c r="I16" i="25" l="1"/>
  <c r="H19" i="25"/>
  <c r="H24" i="25" s="1"/>
  <c r="H9" i="30" s="1"/>
  <c r="H10" i="30" s="1"/>
  <c r="J28" i="28"/>
  <c r="I15" i="25"/>
  <c r="I18" i="25" s="1"/>
  <c r="K10" i="20"/>
  <c r="K8" i="29"/>
  <c r="K9" i="29" s="1"/>
  <c r="K20" i="29" s="1"/>
  <c r="K6" i="30" s="1"/>
  <c r="J15" i="25" l="1"/>
  <c r="I19" i="25"/>
  <c r="I24" i="25" s="1"/>
  <c r="I9" i="30" s="1"/>
  <c r="I10" i="30" s="1"/>
  <c r="K18" i="27"/>
  <c r="L7" i="20"/>
  <c r="L8" i="20" s="1"/>
  <c r="K13" i="28"/>
  <c r="L16" i="29" l="1"/>
  <c r="O22" i="20"/>
  <c r="L22" i="20"/>
  <c r="L28" i="20" s="1"/>
  <c r="L9" i="20" s="1"/>
  <c r="P22" i="20"/>
  <c r="N22" i="20"/>
  <c r="M22" i="20"/>
  <c r="Q22" i="20"/>
  <c r="K20" i="27"/>
  <c r="K19" i="27"/>
  <c r="K28" i="28" s="1"/>
  <c r="K15" i="25" l="1"/>
  <c r="L10" i="20"/>
  <c r="L8" i="29"/>
  <c r="L9" i="29" s="1"/>
  <c r="L20" i="29" s="1"/>
  <c r="L6" i="30" s="1"/>
  <c r="L18" i="27" l="1"/>
  <c r="M7" i="20"/>
  <c r="M8" i="20" s="1"/>
  <c r="L13" i="28"/>
  <c r="M16" i="29" l="1"/>
  <c r="O23" i="20"/>
  <c r="Q23" i="20"/>
  <c r="P23" i="20"/>
  <c r="N23" i="20"/>
  <c r="M23" i="20"/>
  <c r="M28" i="20" s="1"/>
  <c r="M9" i="20" s="1"/>
  <c r="L20" i="27"/>
  <c r="L19" i="27"/>
  <c r="L28" i="28" s="1"/>
  <c r="L15" i="25" l="1"/>
  <c r="M10" i="20"/>
  <c r="M8" i="29"/>
  <c r="M9" i="29" s="1"/>
  <c r="M20" i="29" s="1"/>
  <c r="M6" i="30" s="1"/>
  <c r="M18" i="27" l="1"/>
  <c r="N7" i="20"/>
  <c r="N8" i="20" s="1"/>
  <c r="M13" i="28"/>
  <c r="N16" i="29" l="1"/>
  <c r="P24" i="20"/>
  <c r="Q24" i="20"/>
  <c r="O24" i="20"/>
  <c r="N24" i="20"/>
  <c r="N28" i="20" s="1"/>
  <c r="N9" i="20" s="1"/>
  <c r="M20" i="27"/>
  <c r="M19" i="27"/>
  <c r="M28" i="28" s="1"/>
  <c r="M15" i="25" l="1"/>
  <c r="N10" i="20"/>
  <c r="N8" i="29"/>
  <c r="N9" i="29" s="1"/>
  <c r="N20" i="29" s="1"/>
  <c r="N6" i="30" s="1"/>
  <c r="N18" i="27" l="1"/>
  <c r="O7" i="20"/>
  <c r="O8" i="20" s="1"/>
  <c r="N13" i="28"/>
  <c r="O16" i="29" l="1"/>
  <c r="P25" i="20"/>
  <c r="O25" i="20"/>
  <c r="O28" i="20" s="1"/>
  <c r="O9" i="20" s="1"/>
  <c r="Q25" i="20"/>
  <c r="N19" i="27"/>
  <c r="N28" i="28" s="1"/>
  <c r="N20" i="27"/>
  <c r="N15" i="25" l="1"/>
  <c r="O10" i="20"/>
  <c r="O8" i="29"/>
  <c r="O9" i="29" s="1"/>
  <c r="O20" i="29" s="1"/>
  <c r="O6" i="30" s="1"/>
  <c r="O18" i="27" l="1"/>
  <c r="P7" i="20"/>
  <c r="P8" i="20" s="1"/>
  <c r="O13" i="28"/>
  <c r="P16" i="29" l="1"/>
  <c r="P26" i="20"/>
  <c r="P28" i="20" s="1"/>
  <c r="P9" i="20" s="1"/>
  <c r="Q26" i="20"/>
  <c r="O19" i="27"/>
  <c r="O28" i="28" s="1"/>
  <c r="O20" i="27"/>
  <c r="O15" i="25" l="1"/>
  <c r="P10" i="20"/>
  <c r="P8" i="29"/>
  <c r="P9" i="29" s="1"/>
  <c r="P20" i="29" s="1"/>
  <c r="P6" i="30" s="1"/>
  <c r="P18" i="27" l="1"/>
  <c r="Q7" i="20"/>
  <c r="P13" i="28"/>
  <c r="Q8" i="20" l="1"/>
  <c r="P19" i="27"/>
  <c r="P28" i="28" s="1"/>
  <c r="P20" i="27"/>
  <c r="P15" i="25" l="1"/>
  <c r="Q16" i="29"/>
  <c r="C25" i="31" s="1"/>
  <c r="Q27" i="20"/>
  <c r="Q28" i="20" s="1"/>
  <c r="Q9" i="20" s="1"/>
  <c r="Q8" i="29" l="1"/>
  <c r="Q10" i="20"/>
  <c r="Q13" i="28" s="1"/>
  <c r="Q9" i="29" l="1"/>
  <c r="Q20" i="29" s="1"/>
  <c r="Q6" i="30" s="1"/>
  <c r="C23" i="31"/>
  <c r="Q18" i="27" l="1"/>
  <c r="Q20" i="27" s="1"/>
  <c r="Q19" i="27" l="1"/>
  <c r="Q28" i="28" s="1"/>
  <c r="Q15" i="25" s="1"/>
  <c r="I11" i="27" l="1"/>
  <c r="J12" i="27" l="1"/>
  <c r="J10" i="26" s="1"/>
  <c r="J11" i="27"/>
  <c r="J11" i="26" l="1"/>
  <c r="J22" i="29"/>
  <c r="K11" i="27"/>
  <c r="K12" i="27"/>
  <c r="K10" i="26" s="1"/>
  <c r="H23" i="29"/>
  <c r="I24" i="29" l="1"/>
  <c r="H24" i="29"/>
  <c r="H28" i="29" s="1"/>
  <c r="K11" i="26"/>
  <c r="K22" i="29"/>
  <c r="J12" i="26"/>
  <c r="J25" i="29" s="1"/>
  <c r="I23" i="29"/>
  <c r="H31" i="28"/>
  <c r="H34" i="28" s="1"/>
  <c r="L11" i="27"/>
  <c r="L12" i="27"/>
  <c r="L10" i="26" s="1"/>
  <c r="H5" i="28" l="1"/>
  <c r="C9" i="31"/>
  <c r="C8" i="31"/>
  <c r="I28" i="29"/>
  <c r="I31" i="29" s="1"/>
  <c r="H31" i="29"/>
  <c r="H32" i="29" s="1"/>
  <c r="I30" i="29" s="1"/>
  <c r="J14" i="26"/>
  <c r="J32" i="28" s="1"/>
  <c r="L22" i="29"/>
  <c r="L11" i="26"/>
  <c r="K12" i="26"/>
  <c r="K25" i="29" s="1"/>
  <c r="M12" i="27"/>
  <c r="M10" i="26" s="1"/>
  <c r="M11" i="27"/>
  <c r="J23" i="29"/>
  <c r="I31" i="28"/>
  <c r="I34" i="28" s="1"/>
  <c r="I32" i="29" l="1"/>
  <c r="J30" i="29" s="1"/>
  <c r="I5" i="28"/>
  <c r="J16" i="25"/>
  <c r="H17" i="28"/>
  <c r="H36" i="28" s="1"/>
  <c r="M11" i="26"/>
  <c r="M22" i="29"/>
  <c r="L12" i="26"/>
  <c r="L25" i="29" s="1"/>
  <c r="K14" i="26"/>
  <c r="K32" i="28" s="1"/>
  <c r="N12" i="27"/>
  <c r="N10" i="26" s="1"/>
  <c r="N11" i="27"/>
  <c r="K23" i="29"/>
  <c r="J31" i="28"/>
  <c r="K16" i="25" l="1"/>
  <c r="J19" i="25"/>
  <c r="J18" i="25"/>
  <c r="J24" i="25" s="1"/>
  <c r="J9" i="30" s="1"/>
  <c r="J10" i="30" s="1"/>
  <c r="L14" i="26"/>
  <c r="L32" i="28" s="1"/>
  <c r="N22" i="29"/>
  <c r="N11" i="26"/>
  <c r="M12" i="26"/>
  <c r="M25" i="29" s="1"/>
  <c r="O12" i="27"/>
  <c r="O10" i="26" s="1"/>
  <c r="O11" i="27"/>
  <c r="L23" i="29"/>
  <c r="K31" i="28"/>
  <c r="L16" i="25" l="1"/>
  <c r="K19" i="25"/>
  <c r="K18" i="25"/>
  <c r="O22" i="29"/>
  <c r="O11" i="26"/>
  <c r="M14" i="26"/>
  <c r="M32" i="28" s="1"/>
  <c r="N12" i="26"/>
  <c r="N25" i="29" s="1"/>
  <c r="M23" i="29"/>
  <c r="L31" i="28"/>
  <c r="P12" i="27"/>
  <c r="P10" i="26" s="1"/>
  <c r="P11" i="27"/>
  <c r="J24" i="29"/>
  <c r="J28" i="29" s="1"/>
  <c r="K24" i="25" l="1"/>
  <c r="K9" i="30" s="1"/>
  <c r="K10" i="30" s="1"/>
  <c r="M16" i="25"/>
  <c r="L19" i="25"/>
  <c r="L18" i="25"/>
  <c r="J31" i="29"/>
  <c r="J32" i="29" s="1"/>
  <c r="K30" i="29" s="1"/>
  <c r="J5" i="28"/>
  <c r="N14" i="26"/>
  <c r="N32" i="28" s="1"/>
  <c r="O12" i="26"/>
  <c r="O25" i="29" s="1"/>
  <c r="P22" i="29"/>
  <c r="P11" i="26"/>
  <c r="Q12" i="27"/>
  <c r="Q10" i="26" s="1"/>
  <c r="Q11" i="27"/>
  <c r="J34" i="28"/>
  <c r="N23" i="29"/>
  <c r="M31" i="28"/>
  <c r="K24" i="29"/>
  <c r="K28" i="29" s="1"/>
  <c r="K31" i="29" s="1"/>
  <c r="L24" i="25" l="1"/>
  <c r="L9" i="30" s="1"/>
  <c r="L10" i="30" s="1"/>
  <c r="N16" i="25"/>
  <c r="M19" i="25"/>
  <c r="M18" i="25"/>
  <c r="K32" i="29"/>
  <c r="L30" i="29" s="1"/>
  <c r="K5" i="28"/>
  <c r="O14" i="26"/>
  <c r="O32" i="28" s="1"/>
  <c r="P12" i="26"/>
  <c r="P25" i="29" s="1"/>
  <c r="Q22" i="29"/>
  <c r="Q11" i="26"/>
  <c r="K34" i="28"/>
  <c r="O23" i="29"/>
  <c r="N31" i="28"/>
  <c r="L24" i="29"/>
  <c r="L28" i="29" s="1"/>
  <c r="L31" i="29" s="1"/>
  <c r="M24" i="25" l="1"/>
  <c r="M9" i="30" s="1"/>
  <c r="M10" i="30" s="1"/>
  <c r="O16" i="25"/>
  <c r="L32" i="29"/>
  <c r="M30" i="29" s="1"/>
  <c r="N19" i="25"/>
  <c r="N18" i="25"/>
  <c r="L5" i="28"/>
  <c r="J17" i="28"/>
  <c r="J36" i="28" s="1"/>
  <c r="I17" i="28"/>
  <c r="I36" i="28" s="1"/>
  <c r="Q12" i="26"/>
  <c r="Q25" i="29" s="1"/>
  <c r="P14" i="26"/>
  <c r="P32" i="28" s="1"/>
  <c r="L34" i="28"/>
  <c r="P23" i="29"/>
  <c r="O31" i="28"/>
  <c r="M24" i="29"/>
  <c r="M28" i="29" s="1"/>
  <c r="M31" i="29" s="1"/>
  <c r="M32" i="29" l="1"/>
  <c r="N30" i="29" s="1"/>
  <c r="P16" i="25"/>
  <c r="O19" i="25"/>
  <c r="O18" i="25"/>
  <c r="N24" i="25"/>
  <c r="N9" i="30" s="1"/>
  <c r="N10" i="30" s="1"/>
  <c r="M5" i="28"/>
  <c r="K17" i="28"/>
  <c r="K36" i="28" s="1"/>
  <c r="Q14" i="26"/>
  <c r="Q32" i="28" s="1"/>
  <c r="Q16" i="25" s="1"/>
  <c r="M34" i="28"/>
  <c r="P31" i="28"/>
  <c r="N24" i="29"/>
  <c r="N28" i="29" s="1"/>
  <c r="N31" i="29" s="1"/>
  <c r="O24" i="25" l="1"/>
  <c r="O9" i="30" s="1"/>
  <c r="O10" i="30" s="1"/>
  <c r="N32" i="29"/>
  <c r="O30" i="29" s="1"/>
  <c r="Q19" i="25"/>
  <c r="Q18" i="25"/>
  <c r="P19" i="25"/>
  <c r="P18" i="25"/>
  <c r="N5" i="28"/>
  <c r="Q31" i="28"/>
  <c r="Q23" i="29"/>
  <c r="N34" i="28"/>
  <c r="O24" i="29"/>
  <c r="O28" i="29" s="1"/>
  <c r="O31" i="29" s="1"/>
  <c r="O32" i="29" s="1"/>
  <c r="P30" i="29" s="1"/>
  <c r="Q24" i="25" l="1"/>
  <c r="Q9" i="30" s="1"/>
  <c r="Q10" i="30" s="1"/>
  <c r="P24" i="25"/>
  <c r="P9" i="30" s="1"/>
  <c r="P10" i="30" s="1"/>
  <c r="O5" i="28"/>
  <c r="M17" i="28"/>
  <c r="M36" i="28" s="1"/>
  <c r="L17" i="28"/>
  <c r="L36" i="28" s="1"/>
  <c r="O34" i="28"/>
  <c r="P24" i="29"/>
  <c r="P28" i="29" s="1"/>
  <c r="Q7" i="30" l="1"/>
  <c r="Q11" i="30" s="1"/>
  <c r="F15" i="30" s="1"/>
  <c r="F14" i="30"/>
  <c r="P31" i="29"/>
  <c r="P32" i="29" s="1"/>
  <c r="Q30" i="29" s="1"/>
  <c r="C21" i="31"/>
  <c r="P5" i="28"/>
  <c r="N17" i="28"/>
  <c r="N36" i="28" s="1"/>
  <c r="P34" i="28"/>
  <c r="F16" i="30" l="1"/>
  <c r="F19" i="30" s="1"/>
  <c r="F21" i="30" s="1"/>
  <c r="O17" i="28"/>
  <c r="O36" i="28" s="1"/>
  <c r="Q34" i="28"/>
  <c r="Q24" i="29"/>
  <c r="Q28" i="29" l="1"/>
  <c r="C26" i="31"/>
  <c r="Q5" i="28"/>
  <c r="P17" i="28"/>
  <c r="P36" i="28" s="1"/>
  <c r="Q31" i="29" l="1"/>
  <c r="Q32" i="29" s="1"/>
  <c r="C27" i="31"/>
  <c r="Q17" i="28" l="1"/>
  <c r="Q36" i="2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<sst xmlns="http://schemas.openxmlformats.org/spreadsheetml/2006/main" count="1079" uniqueCount="386">
  <si>
    <t>Tesla</t>
  </si>
  <si>
    <t>Company analysis</t>
  </si>
  <si>
    <t>Selected case</t>
  </si>
  <si>
    <t>Company</t>
  </si>
  <si>
    <t>Currency</t>
  </si>
  <si>
    <t>USD</t>
  </si>
  <si>
    <t>Domestic country</t>
  </si>
  <si>
    <t>United States</t>
  </si>
  <si>
    <t>10-year treasury yield (Sep 18 2020)</t>
  </si>
  <si>
    <t>Market risk premium US</t>
  </si>
  <si>
    <t>Company beta (Dec 15 2020)</t>
  </si>
  <si>
    <t>Tesla share price (Dec 15 2020)</t>
  </si>
  <si>
    <t>Bond Yield (Sep 18 2020)</t>
  </si>
  <si>
    <t>Corporate tax rate</t>
  </si>
  <si>
    <t>Expected inflation</t>
  </si>
  <si>
    <t>Drivers</t>
  </si>
  <si>
    <t>(in thousands)</t>
  </si>
  <si>
    <t>2015
Act</t>
  </si>
  <si>
    <t>2016
Act</t>
  </si>
  <si>
    <t>2017
Act</t>
  </si>
  <si>
    <t>2018
Act</t>
  </si>
  <si>
    <t>2019
Act</t>
  </si>
  <si>
    <t>Automotive revenues</t>
  </si>
  <si>
    <t>Energy generation and storage</t>
  </si>
  <si>
    <t>Services and other</t>
  </si>
  <si>
    <t>Total revenues</t>
  </si>
  <si>
    <t>Automotive cost of revenues</t>
  </si>
  <si>
    <t>Energy generation and storage cost of revenues</t>
  </si>
  <si>
    <t>Services and other cost of revenues</t>
  </si>
  <si>
    <t>Gross profit</t>
  </si>
  <si>
    <t>Research and development</t>
  </si>
  <si>
    <t>Selling, general and administrative</t>
  </si>
  <si>
    <t>Restructuring and other</t>
  </si>
  <si>
    <t>EBIT</t>
  </si>
  <si>
    <t>Interest income</t>
  </si>
  <si>
    <t>Interest expense</t>
  </si>
  <si>
    <t>Other income (expense), net</t>
  </si>
  <si>
    <t>EBT</t>
  </si>
  <si>
    <t>Provision for income taxes</t>
  </si>
  <si>
    <t>Net loss incl. minority interests</t>
  </si>
  <si>
    <t>Minority interests</t>
  </si>
  <si>
    <t>Net loss</t>
  </si>
  <si>
    <t>P&amp;L Input</t>
  </si>
  <si>
    <t>KPIs</t>
  </si>
  <si>
    <t>Revenue % automotive y-o-y</t>
  </si>
  <si>
    <t>Revenue % generation y-o-y</t>
  </si>
  <si>
    <t>Revenue % services y-o-y</t>
  </si>
  <si>
    <t>GP% automotive</t>
  </si>
  <si>
    <t>GP% energy generation and automotive</t>
  </si>
  <si>
    <t>GP% services and other</t>
  </si>
  <si>
    <t>Overall GP%</t>
  </si>
  <si>
    <t>EBIT %</t>
  </si>
  <si>
    <t>Net loss %</t>
  </si>
  <si>
    <t>ROA</t>
  </si>
  <si>
    <t>ROE</t>
  </si>
  <si>
    <t>Liquidity ratios</t>
  </si>
  <si>
    <t>Quick ratio</t>
  </si>
  <si>
    <t>Current ratio</t>
  </si>
  <si>
    <t>DSO</t>
  </si>
  <si>
    <t>DIO</t>
  </si>
  <si>
    <t>DPO</t>
  </si>
  <si>
    <t>Net Trading Cycle</t>
  </si>
  <si>
    <t>Solvency ratios</t>
  </si>
  <si>
    <t>Debt ratio</t>
  </si>
  <si>
    <t>Interest coverage</t>
  </si>
  <si>
    <t>&lt;0</t>
  </si>
  <si>
    <t>Balance Sheet Input</t>
  </si>
  <si>
    <t>31 Dec
2015</t>
  </si>
  <si>
    <t>31 Dec
2016</t>
  </si>
  <si>
    <t>31 Dec 
2017</t>
  </si>
  <si>
    <t>31 Dec 
2018</t>
  </si>
  <si>
    <t>31 Dec 
2019</t>
  </si>
  <si>
    <t>Cash and cash equivalents</t>
  </si>
  <si>
    <t>Restricted cash and marketable securities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</si>
  <si>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</si>
  <si>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</si>
  <si>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</si>
  <si>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</si>
  <si>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</si>
  <si>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</si>
  <si>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</si>
  <si>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Operating lease right-of-use assets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</si>
  <si>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</si>
  <si>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</si>
  <si>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</si>
  <si>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</si>
  <si>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</si>
  <si>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</si>
  <si>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Accrued liabilities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</si>
  <si>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</si>
  <si>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</si>
  <si>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</si>
  <si>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</si>
  <si>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</si>
  <si>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</si>
  <si>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</si>
  <si>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</si>
  <si>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Other liabilities</t>
  </si>
  <si>
    <t>Total liabilities</t>
  </si>
  <si>
    <t>Total stockholders' equity</t>
  </si>
  <si>
    <t>Noncontrolling interests in subsidiaries</t>
  </si>
  <si>
    <t>Total liabilities and equity</t>
  </si>
  <si>
    <t>Tesla Deliveries</t>
  </si>
  <si>
    <t>Vehicle</t>
  </si>
  <si>
    <t>2020
Fcst</t>
  </si>
  <si>
    <t>2021
Fcst</t>
  </si>
  <si>
    <t>2022
Fcst</t>
  </si>
  <si>
    <t>2023
Fcst</t>
  </si>
  <si>
    <t>2024
Fcst</t>
  </si>
  <si>
    <t>2025
Fcst</t>
  </si>
  <si>
    <t>2026
Fcst</t>
  </si>
  <si>
    <t>2027
Fcst</t>
  </si>
  <si>
    <t>2028
Fcst</t>
  </si>
  <si>
    <t>2029
Fcst</t>
  </si>
  <si>
    <t>Tesla Model 3</t>
  </si>
  <si>
    <t>Tesla Model S and X</t>
  </si>
  <si>
    <t>Tesla Model Y</t>
  </si>
  <si>
    <t>Tesla Roadster 2</t>
  </si>
  <si>
    <t>Tesla Pickup</t>
  </si>
  <si>
    <t>Tesla Semi</t>
  </si>
  <si>
    <t>Total</t>
  </si>
  <si>
    <t>y-o-y growth %</t>
  </si>
  <si>
    <t>n.a.</t>
  </si>
  <si>
    <t>Assumed growth after introduction:</t>
  </si>
  <si>
    <t>2 years</t>
  </si>
  <si>
    <t>onwards</t>
  </si>
  <si>
    <t>2020 Fcst</t>
  </si>
  <si>
    <t>2021 Fcst</t>
  </si>
  <si>
    <t>2022 Fcst</t>
  </si>
  <si>
    <t>2023 Fcst</t>
  </si>
  <si>
    <t>2024 Fcst</t>
  </si>
  <si>
    <t>2025 Fcst</t>
  </si>
  <si>
    <t>2026 Fcst</t>
  </si>
  <si>
    <t>2027 Fcst</t>
  </si>
  <si>
    <t>2028 Fcst</t>
  </si>
  <si>
    <t>2029 Fcst</t>
  </si>
  <si>
    <t>-</t>
  </si>
  <si>
    <t>Comparables 2015-2019</t>
  </si>
  <si>
    <t xml:space="preserve">  </t>
  </si>
  <si>
    <t>Vehicle Sales 2015-2019 - average</t>
  </si>
  <si>
    <t>Average</t>
  </si>
  <si>
    <t>Adj. Average</t>
  </si>
  <si>
    <t>GM</t>
  </si>
  <si>
    <t>Ford</t>
  </si>
  <si>
    <t>Fiat Chrysler</t>
  </si>
  <si>
    <t>BMW</t>
  </si>
  <si>
    <t>Volkswagen</t>
  </si>
  <si>
    <t>Tesla Expected Deliveries</t>
  </si>
  <si>
    <t>Model and Version</t>
  </si>
  <si>
    <t>Range</t>
  </si>
  <si>
    <t>Base price</t>
  </si>
  <si>
    <t>Fully loaded</t>
  </si>
  <si>
    <t>Average Price per Model</t>
  </si>
  <si>
    <t>Model 3 Standard Range Plus</t>
  </si>
  <si>
    <t>250 miles</t>
  </si>
  <si>
    <t>Model 3 Long Range</t>
  </si>
  <si>
    <t>322 miles</t>
  </si>
  <si>
    <t>Model 3 Performance</t>
  </si>
  <si>
    <t>Average Model 3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</si>
  <si>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</si>
  <si>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</si>
  <si>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</si>
  <si>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</si>
  <si>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</si>
  <si>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</si>
  <si>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</si>
  <si>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</si>
  <si>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Average Model S and X</t>
  </si>
  <si>
    <t>Model</t>
  </si>
  <si>
    <t>Max price</t>
  </si>
  <si>
    <t>CyberTruck</t>
  </si>
  <si>
    <t>Model Y</t>
  </si>
  <si>
    <t>Roadster 2020</t>
  </si>
  <si>
    <t>Semi</t>
  </si>
  <si>
    <t xml:space="preserve"> </t>
  </si>
  <si>
    <t>Tesla Revenue Automotive (in mln $)</t>
  </si>
  <si>
    <t>Average Price ($)</t>
  </si>
  <si>
    <t>Best case</t>
  </si>
  <si>
    <t>Base case</t>
  </si>
  <si>
    <t>Worst case</t>
  </si>
  <si>
    <t>Comparables 2019</t>
  </si>
  <si>
    <t>Comparable companies</t>
  </si>
  <si>
    <t>GP %
Comp. 1</t>
  </si>
  <si>
    <t>GP %
Comp. 2</t>
  </si>
  <si>
    <t>GP %
Comp. 3</t>
  </si>
  <si>
    <t>GM, Ford, Fiat Chrysler</t>
  </si>
  <si>
    <t>Historic</t>
  </si>
  <si>
    <t>BMW, Mercedes Cars, Volkswagen</t>
  </si>
  <si>
    <t>Comparables</t>
  </si>
  <si>
    <t>Jaguar, Porsche, Ferrari</t>
  </si>
  <si>
    <t>Scania, MAN, Paccar</t>
  </si>
  <si>
    <t>Historical</t>
  </si>
  <si>
    <t>Historic Average GP%</t>
  </si>
  <si>
    <t>Tesla Gross Profit (in mln $)</t>
  </si>
  <si>
    <t>Tesla Cost of sales (in mln $)</t>
  </si>
  <si>
    <t>Revenue and Gross Profit automotive</t>
  </si>
  <si>
    <t>Revenue automotive</t>
  </si>
  <si>
    <t>Gross Profit automotive</t>
  </si>
  <si>
    <t>GP%</t>
  </si>
  <si>
    <t>Tesla Revenue Energy &amp; Other (in mln $)</t>
  </si>
  <si>
    <t>($ in million)</t>
  </si>
  <si>
    <t>Total Energy and Other</t>
  </si>
  <si>
    <t>Y-o-Y %</t>
  </si>
  <si>
    <t>Tesla GP% Energy and Other (in mln $)</t>
  </si>
  <si>
    <t>2019
Fcst</t>
  </si>
  <si>
    <t>Tesla Cost of sales Energy &amp; Other (in mln $)</t>
  </si>
  <si>
    <t>Comparables - 2019</t>
  </si>
  <si>
    <t>Jaguar</t>
  </si>
  <si>
    <t>Porsche</t>
  </si>
  <si>
    <t>Ferrari</t>
  </si>
  <si>
    <t>Scania</t>
  </si>
  <si>
    <t>MAN</t>
  </si>
  <si>
    <t>Paccar</t>
  </si>
  <si>
    <t>Opex</t>
  </si>
  <si>
    <t>Tesla Opex (in mln $)</t>
  </si>
  <si>
    <t>Revenues</t>
  </si>
  <si>
    <t>Opex as a % of revenues</t>
  </si>
  <si>
    <t>Opex as a % of revenue</t>
  </si>
  <si>
    <t>Opex %</t>
  </si>
  <si>
    <t>Tesla PP&amp;E (in mln $)</t>
  </si>
  <si>
    <t>31Dec2015
Act</t>
  </si>
  <si>
    <t>31Dec2016
Act</t>
  </si>
  <si>
    <t>31Dec2017
Act</t>
  </si>
  <si>
    <t>31Dec2018
Act</t>
  </si>
  <si>
    <t>31Dec2019
Act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</si>
  <si>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</si>
  <si>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</si>
  <si>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</si>
  <si>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</si>
  <si>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</si>
  <si>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</si>
  <si>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</si>
  <si>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</si>
  <si>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</si>
  <si>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31Dec2029
Fcst</t>
  </si>
  <si>
    <t>Beginning PP&amp;E</t>
  </si>
  <si>
    <t>Capex</t>
  </si>
  <si>
    <t>D&amp;A</t>
  </si>
  <si>
    <t>Ending PP&amp;E</t>
  </si>
  <si>
    <t>Useful life Capex</t>
  </si>
  <si>
    <t>Useful life historical assets</t>
  </si>
  <si>
    <t>Tesla D&amp;A (in mln $)</t>
  </si>
  <si>
    <t>Total D&amp;A</t>
  </si>
  <si>
    <t>Capex as a % of PP&amp;E</t>
  </si>
  <si>
    <t>Capex as a % of revenue</t>
  </si>
  <si>
    <t>Capex %</t>
  </si>
  <si>
    <t>CAPEX as a % of PP&amp;E</t>
  </si>
  <si>
    <t>CAPEX as a % of revenues</t>
  </si>
  <si>
    <t>Mercedes</t>
  </si>
  <si>
    <t>Net trade cycle</t>
  </si>
  <si>
    <t>Tesla Working capital (in mln $)</t>
  </si>
  <si>
    <t>Trade receivables</t>
  </si>
  <si>
    <t>Trade payables</t>
  </si>
  <si>
    <t>Selected case:</t>
  </si>
  <si>
    <t>Cover negative cash flows with:</t>
  </si>
  <si>
    <t>Debt</t>
  </si>
  <si>
    <t>Equity</t>
  </si>
  <si>
    <t>Bond Yield as of Sep. 20</t>
  </si>
  <si>
    <t>Tesla Financing (in mln $)</t>
  </si>
  <si>
    <t>Interest rate</t>
  </si>
  <si>
    <t>Tesla Cash Flow (in mln $)</t>
  </si>
  <si>
    <t>Unlevered Free Cash Flow</t>
  </si>
  <si>
    <t>WACC</t>
  </si>
  <si>
    <t>Risk-free rate</t>
  </si>
  <si>
    <t>Market risk premium</t>
  </si>
  <si>
    <t>Beta (as of 27 Sep 2018)</t>
  </si>
  <si>
    <t>Tax rate</t>
  </si>
  <si>
    <t>Cost of equity</t>
  </si>
  <si>
    <t>Current bond Yield as of 19th Sep</t>
  </si>
  <si>
    <t>Tesla WACC calculation (in mln $)</t>
  </si>
  <si>
    <t>Debt / (Debt + Equity)</t>
  </si>
  <si>
    <t>Equity / (Debt + Equity)</t>
  </si>
  <si>
    <t>Cost of debt</t>
  </si>
  <si>
    <t>Tesla P&amp;L (in mln $)</t>
  </si>
  <si>
    <t>Cost of sales</t>
  </si>
  <si>
    <t>Operating expenses</t>
  </si>
  <si>
    <t>Interest expenses/income</t>
  </si>
  <si>
    <t>Taxes</t>
  </si>
  <si>
    <t>Minority interest</t>
  </si>
  <si>
    <t>Net Income</t>
  </si>
  <si>
    <t>Check</t>
  </si>
  <si>
    <t>Net income</t>
  </si>
  <si>
    <t>Assumption</t>
  </si>
  <si>
    <t>Cash</t>
  </si>
  <si>
    <t>Cash flow sheet</t>
  </si>
  <si>
    <t>Restricted cash and securities</t>
  </si>
  <si>
    <t>Stays flat</t>
  </si>
  <si>
    <t>Working capital sheet</t>
  </si>
  <si>
    <t>Prepaid expenses</t>
  </si>
  <si>
    <t>Grows as a % of revenues</t>
  </si>
  <si>
    <t>as a % of revenues</t>
  </si>
  <si>
    <t>Operating lease vehicles</t>
  </si>
  <si>
    <t>Solar energy systems leased</t>
  </si>
  <si>
    <t>PP&amp;E</t>
  </si>
  <si>
    <t>PP&amp;E sheet</t>
  </si>
  <si>
    <t>Intangible assets</t>
  </si>
  <si>
    <t>Long-term debt</t>
  </si>
  <si>
    <t>Financing sheet</t>
  </si>
  <si>
    <t>Total liabilities &amp; equity</t>
  </si>
  <si>
    <t>NOPAT</t>
  </si>
  <si>
    <t>Add-back D&amp;A</t>
  </si>
  <si>
    <t>Gross Cash Flow</t>
  </si>
  <si>
    <t>Investments in Working Capital</t>
  </si>
  <si>
    <t>Other liabilties</t>
  </si>
  <si>
    <t>Interest expenses</t>
  </si>
  <si>
    <t>Delta Financial liabilities</t>
  </si>
  <si>
    <t>Delta equity/Other equity movements</t>
  </si>
  <si>
    <t>Tax adjustment</t>
  </si>
  <si>
    <t>Net Cash Flow</t>
  </si>
  <si>
    <t>Opening cash</t>
  </si>
  <si>
    <t>Closing cash</t>
  </si>
  <si>
    <t>g (Perpetuity growth)</t>
  </si>
  <si>
    <t>Discount factor (WACC)</t>
  </si>
  <si>
    <t>Perpetuity Growth Rate-Based Valuation</t>
  </si>
  <si>
    <t>Total PV of Cash Flows</t>
  </si>
  <si>
    <t>Enterprise Value</t>
  </si>
  <si>
    <t>+Cash</t>
  </si>
  <si>
    <t>-Financial liabilities</t>
  </si>
  <si>
    <t>Equity Value</t>
  </si>
  <si>
    <t>Number of shares outstanding (as of 30 Sep 2020)</t>
  </si>
  <si>
    <t>Price per share</t>
  </si>
  <si>
    <t>Terminal  value</t>
  </si>
  <si>
    <t>PV of Terminal value</t>
  </si>
  <si>
    <t>Cash Flow 2019</t>
  </si>
  <si>
    <t>Working Capital</t>
  </si>
  <si>
    <t>Other</t>
  </si>
  <si>
    <t>Cash Flow 2020</t>
  </si>
  <si>
    <t>Cash Flow 2028</t>
  </si>
  <si>
    <t>Cash Flow 2029</t>
  </si>
  <si>
    <t>Net Inc. FY18</t>
  </si>
  <si>
    <t>Δ Revenues</t>
  </si>
  <si>
    <t>Δ Cost of
 sales</t>
  </si>
  <si>
    <t>Δ Operating 
expenses</t>
  </si>
  <si>
    <t>Δ Interest 
expenses</t>
  </si>
  <si>
    <t>Δ Taxes</t>
  </si>
  <si>
    <t>Δ Minority 
interest</t>
  </si>
  <si>
    <t>Net Inc. FY19</t>
  </si>
  <si>
    <t>Net Inc. FY20</t>
  </si>
  <si>
    <t>Car</t>
  </si>
  <si>
    <t>Pickup</t>
  </si>
  <si>
    <t>Truck</t>
  </si>
  <si>
    <t>Vehicle type</t>
  </si>
  <si>
    <t>Input ---&gt;</t>
  </si>
  <si>
    <t>Income Statement Items ---&gt;</t>
  </si>
  <si>
    <t>1. Automotive</t>
  </si>
  <si>
    <t>Tesla Automotive Deliveries</t>
  </si>
  <si>
    <t>Tesla  Automotive Deliveries Chart</t>
  </si>
  <si>
    <t>Tesla Deliveries comparables</t>
  </si>
  <si>
    <t>Average Tesla Automative Model prices</t>
  </si>
  <si>
    <t>Tesla Revenue Automotive</t>
  </si>
  <si>
    <t>Tesla Automotive Gross Profit Margin %</t>
  </si>
  <si>
    <t xml:space="preserve">Tesla Automotive Gross Profit </t>
  </si>
  <si>
    <t xml:space="preserve">Tesla Cost of sales Automotive </t>
  </si>
  <si>
    <t>2. Tesla Energy, Services &amp; Other</t>
  </si>
  <si>
    <t>Tesla Revenue Energy, Serivice &amp; Other</t>
  </si>
  <si>
    <t xml:space="preserve">Tesla Energy, Sevices &amp; Other Gross Profit </t>
  </si>
  <si>
    <t>Tesla Cost of sales Energy, Services &amp; Other</t>
  </si>
  <si>
    <t>Operating Expenses ---&gt;</t>
  </si>
  <si>
    <t>Tesla Opex comparables</t>
  </si>
  <si>
    <t>Tesla Opex</t>
  </si>
  <si>
    <t>Property, Plant &amp; Equipment ---&gt;</t>
  </si>
  <si>
    <t>Tesla PP&amp;E comparables</t>
  </si>
  <si>
    <t>Tesla Fixed Asset Movement Schedule</t>
  </si>
  <si>
    <t xml:space="preserve">Working Capital ---&gt; </t>
  </si>
  <si>
    <t>Tesla Working Capital comparables</t>
  </si>
  <si>
    <t>Tesla Working capital</t>
  </si>
  <si>
    <t>Tesla Financing</t>
  </si>
  <si>
    <t>Financial Statements ---&gt;</t>
  </si>
  <si>
    <t>Tesla P&amp;L</t>
  </si>
  <si>
    <t>Tesla Balance Sheet</t>
  </si>
  <si>
    <t>Tesla Balance Sheet (in mln $)</t>
  </si>
  <si>
    <t>Tesla Cash Flow</t>
  </si>
  <si>
    <t>WACC ---&gt;</t>
  </si>
  <si>
    <t>Tesla WACC</t>
  </si>
  <si>
    <t>DCF Model ---&gt;</t>
  </si>
  <si>
    <t>Tesla DCF Valuation</t>
  </si>
  <si>
    <t>Year ---&gt;</t>
  </si>
  <si>
    <t>Present value of UFCF ---&gt;</t>
  </si>
  <si>
    <t>Present value of TV ---&gt;</t>
  </si>
  <si>
    <t>Cash flow waterfall Chart</t>
  </si>
  <si>
    <t>Charts ---&gt;</t>
  </si>
  <si>
    <t>Tesla Net Income Waterfall  Chart FY18-FY20</t>
  </si>
  <si>
    <t>Tesla Revenue by type of car</t>
  </si>
  <si>
    <t>Tesla Types of vehicles</t>
  </si>
  <si>
    <t>Vehicles</t>
  </si>
  <si>
    <t>Financing 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</si>
</sst>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?_);@_)"/>
    <numFmt numFmtId="165" formatCode="_(* #,##0_);_(* \(#,##0\);_(* &quot;-&quot;??_);_(@_)"/>
    <numFmt numFmtId="166" formatCode="[$$-45C]#,##0"/>
    <numFmt numFmtId="167" formatCode="0.0%"/>
    <numFmt numFmtId="168" formatCode="_(* #,##0.00_);_(* \(#,##0.00\);_(* &quot;-&quot;??_);_(@_)"/>
    <numFmt numFmtId="169" formatCode="_-* #,##0.00_-;\-* #,##0.00_-;_-* &quot;-&quot;??_-;_-@_-"/>
    <numFmt numFmtId="170" formatCode="_(* #,##0.0_);_(* \(#,##0.0\);_(* &quot;-&quot;??_);_(@_)"/>
    <numFmt numFmtId="171" formatCode="#,##0_);\(#,##0\)"/>
    <numFmt numFmtId="172" formatCode="_(* #,##0.000_);_(* \(#,##0.000\);_(* &quot;-&quot;??_);_(@_)"/>
    <numFmt numFmtId="173" formatCode="0.0"/>
    <numFmt numFmtId="174" formatCode="_(* #,##0.0_);_(* \(#,##0.0\);_(* &quot;-&quot;?_);_(@_)"/>
    <numFmt numFmtId="175" formatCode="_(* #,##0.0_);_(* \(#,##0.0\);_(* &quot;-&quot;?_);@_l"/>
    <numFmt numFmtId="176" formatCode="_(* #,##0.0_);_(* \(#,##0.0\);_(* &quot;-&quot;?_);@_)"/>
    <numFmt numFmtId="177" formatCode="_ * #,##0_ ;_ * \-#,##0_ ;_ * &quot;-&quot;??_ ;_ @_ 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40"/>
      <color rgb="FF002060"/>
      <name val="Arial"/>
      <family val="2"/>
      <charset val="204"/>
    </font>
    <font>
      <sz val="10"/>
      <color rgb="FF002060"/>
      <name val="Arial"/>
      <family val="2"/>
      <charset val="204"/>
    </font>
    <font>
      <sz val="8"/>
      <name val="Aptos Narrow"/>
      <family val="2"/>
      <scheme val="minor"/>
    </font>
    <font>
      <sz val="10"/>
      <name val="Arial"/>
    </font>
    <font>
      <sz val="10"/>
      <name val="Arial"/>
      <family val="2"/>
      <charset val="204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12"/>
      <color rgb="FF002060"/>
      <name val="Amasis MT Pro"/>
      <family val="1"/>
    </font>
    <font>
      <sz val="11"/>
      <color theme="1"/>
      <name val="Amasis MT Pro"/>
      <family val="1"/>
    </font>
    <font>
      <sz val="12"/>
      <color theme="1"/>
      <name val="Amasis MT Pro"/>
      <family val="1"/>
    </font>
    <font>
      <sz val="12"/>
      <name val="Amasis MT Pro"/>
      <family val="1"/>
    </font>
    <font>
      <b/>
      <sz val="12"/>
      <color theme="0"/>
      <name val="Amasis MT Pro"/>
      <family val="1"/>
    </font>
    <font>
      <b/>
      <sz val="16"/>
      <color rgb="FF002060"/>
      <name val="Amasis MT Pro"/>
      <family val="1"/>
    </font>
    <font>
      <sz val="12"/>
      <color theme="0"/>
      <name val="Amasis MT Pro"/>
      <family val="1"/>
    </font>
    <font>
      <b/>
      <sz val="12"/>
      <name val="Amasis MT Pro"/>
      <family val="1"/>
    </font>
    <font>
      <b/>
      <sz val="12"/>
      <color theme="1"/>
      <name val="Amasis MT Pro"/>
      <family val="1"/>
    </font>
    <font>
      <b/>
      <sz val="48"/>
      <color rgb="FF002060"/>
      <name val="Amasis MT Pro"/>
      <family val="1"/>
    </font>
    <font>
      <b/>
      <sz val="11"/>
      <color rgb="FF002060"/>
      <name val="Amasis MT Pro"/>
      <family val="1"/>
    </font>
    <font>
      <b/>
      <i/>
      <sz val="12"/>
      <name val="Amasis MT Pro"/>
      <family val="1"/>
    </font>
    <font>
      <b/>
      <i/>
      <sz val="12"/>
      <color theme="0"/>
      <name val="Amasis MT Pro"/>
      <family val="1"/>
    </font>
    <font>
      <sz val="11"/>
      <color theme="0"/>
      <name val="Amasis MT Pro"/>
      <family val="1"/>
    </font>
    <font>
      <sz val="12"/>
      <color rgb="FF1D2540"/>
      <name val="Amasis MT Pro"/>
      <family val="1"/>
    </font>
    <font>
      <b/>
      <sz val="12"/>
      <color rgb="FF1D2540"/>
      <name val="Amasis MT Pro"/>
      <family val="1"/>
    </font>
    <font>
      <b/>
      <u/>
      <sz val="12"/>
      <name val="Amasis MT Pro"/>
      <family val="1"/>
    </font>
    <font>
      <i/>
      <sz val="12"/>
      <name val="Amasis MT Pro"/>
      <family val="1"/>
    </font>
    <font>
      <b/>
      <sz val="48"/>
      <color rgb="FF002060"/>
      <name val="Arial"/>
      <family val="2"/>
      <charset val="204"/>
    </font>
    <font>
      <u/>
      <sz val="12"/>
      <color theme="1"/>
      <name val="Amasis MT Pro"/>
      <family val="1"/>
    </font>
    <font>
      <b/>
      <sz val="12"/>
      <color indexed="9"/>
      <name val="Amasis MT Pro"/>
      <family val="1"/>
    </font>
    <font>
      <u/>
      <sz val="12"/>
      <color theme="10"/>
      <name val="Amasis MT Pro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>
      <alignment vertical="top"/>
    </xf>
    <xf numFmtId="168" fontId="6" fillId="0" borderId="0">
      <alignment vertical="top"/>
    </xf>
    <xf numFmtId="9" fontId="6" fillId="0" borderId="0">
      <alignment vertical="top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269">
    <xf numFmtId="0" fontId="0" fillId="0" borderId="0" xfId="0"/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0" fillId="2" borderId="0" xfId="0" applyFill="1" applyAlignment="1">
      <alignment vertical="top"/>
    </xf>
    <xf numFmtId="0" fontId="9" fillId="2" borderId="0" xfId="0" applyFont="1" applyFill="1" applyAlignment="1">
      <alignment vertical="top"/>
    </xf>
    <xf numFmtId="0" fontId="11" fillId="2" borderId="0" xfId="0" applyFont="1" applyFill="1"/>
    <xf numFmtId="0" fontId="12" fillId="2" borderId="0" xfId="0" applyFont="1" applyFill="1" applyAlignment="1">
      <alignment vertical="top"/>
    </xf>
    <xf numFmtId="0" fontId="13" fillId="3" borderId="0" xfId="0" applyFont="1" applyFill="1" applyAlignment="1">
      <alignment vertical="top"/>
    </xf>
    <xf numFmtId="9" fontId="12" fillId="2" borderId="0" xfId="0" applyNumberFormat="1" applyFont="1" applyFill="1" applyAlignment="1">
      <alignment horizontal="right" vertical="top"/>
    </xf>
    <xf numFmtId="0" fontId="12" fillId="2" borderId="0" xfId="0" applyFont="1" applyFill="1" applyAlignment="1">
      <alignment horizontal="right" vertical="top"/>
    </xf>
    <xf numFmtId="9" fontId="12" fillId="2" borderId="0" xfId="0" applyNumberFormat="1" applyFont="1" applyFill="1" applyAlignment="1">
      <alignment vertical="top"/>
    </xf>
    <xf numFmtId="0" fontId="13" fillId="3" borderId="8" xfId="0" applyFont="1" applyFill="1" applyBorder="1" applyAlignment="1">
      <alignment vertical="top"/>
    </xf>
    <xf numFmtId="0" fontId="12" fillId="2" borderId="7" xfId="0" applyFont="1" applyFill="1" applyBorder="1" applyAlignment="1">
      <alignment vertical="top"/>
    </xf>
    <xf numFmtId="0" fontId="12" fillId="2" borderId="11" xfId="0" applyFont="1" applyFill="1" applyBorder="1" applyAlignment="1">
      <alignment vertical="top"/>
    </xf>
    <xf numFmtId="0" fontId="11" fillId="2" borderId="11" xfId="0" applyFont="1" applyFill="1" applyBorder="1"/>
    <xf numFmtId="0" fontId="12" fillId="2" borderId="12" xfId="0" applyFont="1" applyFill="1" applyBorder="1" applyAlignment="1">
      <alignment vertical="top"/>
    </xf>
    <xf numFmtId="0" fontId="14" fillId="2" borderId="0" xfId="0" applyFont="1" applyFill="1" applyAlignment="1">
      <alignment vertical="top"/>
    </xf>
    <xf numFmtId="0" fontId="15" fillId="2" borderId="0" xfId="0" applyFont="1" applyFill="1"/>
    <xf numFmtId="0" fontId="16" fillId="2" borderId="1" xfId="0" applyFont="1" applyFill="1" applyBorder="1"/>
    <xf numFmtId="0" fontId="16" fillId="2" borderId="1" xfId="0" applyFont="1" applyFill="1" applyBorder="1" applyAlignment="1">
      <alignment horizontal="right" vertical="top" wrapText="1"/>
    </xf>
    <xf numFmtId="164" fontId="12" fillId="2" borderId="0" xfId="0" applyNumberFormat="1" applyFont="1" applyFill="1" applyAlignment="1">
      <alignment horizontal="right" vertical="top"/>
    </xf>
    <xf numFmtId="0" fontId="16" fillId="2" borderId="2" xfId="0" applyFont="1" applyFill="1" applyBorder="1" applyAlignment="1">
      <alignment vertical="top"/>
    </xf>
    <xf numFmtId="164" fontId="16" fillId="2" borderId="2" xfId="0" applyNumberFormat="1" applyFont="1" applyFill="1" applyBorder="1" applyAlignment="1">
      <alignment horizontal="right" vertical="top"/>
    </xf>
    <xf numFmtId="0" fontId="16" fillId="2" borderId="3" xfId="0" applyFont="1" applyFill="1" applyBorder="1" applyAlignment="1">
      <alignment vertical="top"/>
    </xf>
    <xf numFmtId="164" fontId="16" fillId="2" borderId="3" xfId="0" applyNumberFormat="1" applyFont="1" applyFill="1" applyBorder="1" applyAlignment="1">
      <alignment horizontal="right" vertical="top"/>
    </xf>
    <xf numFmtId="0" fontId="17" fillId="4" borderId="0" xfId="0" applyFont="1" applyFill="1"/>
    <xf numFmtId="0" fontId="11" fillId="4" borderId="0" xfId="0" applyFont="1" applyFill="1"/>
    <xf numFmtId="9" fontId="11" fillId="2" borderId="0" xfId="2" applyFont="1" applyFill="1"/>
    <xf numFmtId="9" fontId="17" fillId="2" borderId="0" xfId="2" applyFont="1" applyFill="1"/>
    <xf numFmtId="9" fontId="11" fillId="2" borderId="0" xfId="2" applyFont="1" applyFill="1" applyAlignment="1">
      <alignment horizontal="right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right" vertical="top" wrapText="1"/>
    </xf>
    <xf numFmtId="0" fontId="13" fillId="3" borderId="0" xfId="0" applyFont="1" applyFill="1"/>
    <xf numFmtId="9" fontId="16" fillId="2" borderId="9" xfId="0" applyNumberFormat="1" applyFont="1" applyFill="1" applyBorder="1" applyAlignment="1">
      <alignment horizontal="right" vertical="top"/>
    </xf>
    <xf numFmtId="0" fontId="16" fillId="2" borderId="9" xfId="0" applyFont="1" applyFill="1" applyBorder="1" applyAlignment="1">
      <alignment horizontal="right" vertical="top"/>
    </xf>
    <xf numFmtId="10" fontId="16" fillId="2" borderId="9" xfId="0" applyNumberFormat="1" applyFont="1" applyFill="1" applyBorder="1" applyAlignment="1">
      <alignment vertical="top"/>
    </xf>
    <xf numFmtId="9" fontId="16" fillId="2" borderId="9" xfId="0" applyNumberFormat="1" applyFont="1" applyFill="1" applyBorder="1" applyAlignment="1">
      <alignment vertical="top"/>
    </xf>
    <xf numFmtId="0" fontId="16" fillId="2" borderId="9" xfId="0" applyFont="1" applyFill="1" applyBorder="1" applyAlignment="1">
      <alignment vertical="top"/>
    </xf>
    <xf numFmtId="10" fontId="17" fillId="2" borderId="9" xfId="0" applyNumberFormat="1" applyFont="1" applyFill="1" applyBorder="1"/>
    <xf numFmtId="9" fontId="16" fillId="2" borderId="10" xfId="0" applyNumberFormat="1" applyFont="1" applyFill="1" applyBorder="1" applyAlignment="1">
      <alignment vertical="top"/>
    </xf>
    <xf numFmtId="0" fontId="10" fillId="0" borderId="0" xfId="0" applyFont="1"/>
    <xf numFmtId="0" fontId="18" fillId="0" borderId="0" xfId="0" applyFont="1"/>
    <xf numFmtId="0" fontId="11" fillId="0" borderId="0" xfId="0" applyFont="1"/>
    <xf numFmtId="0" fontId="14" fillId="0" borderId="0" xfId="0" applyFont="1"/>
    <xf numFmtId="0" fontId="16" fillId="2" borderId="1" xfId="0" applyFont="1" applyFill="1" applyBorder="1" applyAlignment="1">
      <alignment horizontal="right" wrapText="1"/>
    </xf>
    <xf numFmtId="164" fontId="12" fillId="2" borderId="0" xfId="1" applyNumberFormat="1" applyFont="1" applyFill="1" applyAlignment="1">
      <alignment horizontal="right" vertical="top"/>
    </xf>
    <xf numFmtId="164" fontId="16" fillId="2" borderId="2" xfId="1" applyNumberFormat="1" applyFont="1" applyFill="1" applyBorder="1" applyAlignment="1">
      <alignment horizontal="right" vertical="top"/>
    </xf>
    <xf numFmtId="164" fontId="16" fillId="2" borderId="3" xfId="1" applyNumberFormat="1" applyFont="1" applyFill="1" applyBorder="1" applyAlignment="1">
      <alignment horizontal="right" vertical="top"/>
    </xf>
    <xf numFmtId="0" fontId="16" fillId="2" borderId="0" xfId="0" applyFont="1" applyFill="1" applyAlignment="1">
      <alignment vertical="top"/>
    </xf>
    <xf numFmtId="164" fontId="16" fillId="2" borderId="0" xfId="1" applyNumberFormat="1" applyFont="1" applyFill="1" applyAlignment="1">
      <alignment horizontal="right" vertical="top"/>
    </xf>
    <xf numFmtId="0" fontId="13" fillId="3" borderId="1" xfId="0" applyFont="1" applyFill="1" applyBorder="1" applyAlignment="1">
      <alignment horizontal="right" wrapText="1"/>
    </xf>
    <xf numFmtId="164" fontId="12" fillId="2" borderId="0" xfId="0" applyNumberFormat="1" applyFont="1" applyFill="1" applyAlignment="1">
      <alignment vertical="top"/>
    </xf>
    <xf numFmtId="2" fontId="11" fillId="4" borderId="0" xfId="0" applyNumberFormat="1" applyFont="1" applyFill="1"/>
    <xf numFmtId="2" fontId="11" fillId="4" borderId="0" xfId="0" applyNumberFormat="1" applyFont="1" applyFill="1" applyAlignment="1">
      <alignment horizontal="right"/>
    </xf>
    <xf numFmtId="0" fontId="19" fillId="0" borderId="0" xfId="0" applyFont="1"/>
    <xf numFmtId="0" fontId="11" fillId="2" borderId="0" xfId="0" applyFont="1" applyFill="1" applyAlignment="1">
      <alignment vertical="top"/>
    </xf>
    <xf numFmtId="0" fontId="16" fillId="2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right" vertical="top" wrapText="1"/>
    </xf>
    <xf numFmtId="164" fontId="12" fillId="5" borderId="0" xfId="0" applyNumberFormat="1" applyFont="1" applyFill="1" applyAlignment="1">
      <alignment horizontal="right" vertical="top"/>
    </xf>
    <xf numFmtId="0" fontId="12" fillId="5" borderId="0" xfId="0" applyFont="1" applyFill="1" applyAlignment="1">
      <alignment horizontal="right" vertical="top"/>
    </xf>
    <xf numFmtId="0" fontId="16" fillId="2" borderId="4" xfId="0" applyFont="1" applyFill="1" applyBorder="1"/>
    <xf numFmtId="165" fontId="16" fillId="2" borderId="4" xfId="0" applyNumberFormat="1" applyFont="1" applyFill="1" applyBorder="1"/>
    <xf numFmtId="0" fontId="20" fillId="4" borderId="0" xfId="0" applyFont="1" applyFill="1" applyAlignment="1">
      <alignment vertical="top"/>
    </xf>
    <xf numFmtId="0" fontId="12" fillId="4" borderId="0" xfId="0" applyFont="1" applyFill="1" applyAlignment="1">
      <alignment vertical="top"/>
    </xf>
    <xf numFmtId="0" fontId="12" fillId="4" borderId="0" xfId="0" applyFont="1" applyFill="1" applyAlignment="1">
      <alignment horizontal="right" vertical="top"/>
    </xf>
    <xf numFmtId="9" fontId="12" fillId="4" borderId="0" xfId="2" applyFont="1" applyFill="1" applyAlignment="1">
      <alignment vertical="top"/>
    </xf>
    <xf numFmtId="9" fontId="12" fillId="4" borderId="0" xfId="0" applyNumberFormat="1" applyFont="1" applyFill="1" applyAlignment="1">
      <alignment horizontal="right" vertical="top"/>
    </xf>
    <xf numFmtId="9" fontId="12" fillId="4" borderId="0" xfId="2" applyFont="1" applyFill="1" applyAlignment="1">
      <alignment horizontal="right" vertical="top"/>
    </xf>
    <xf numFmtId="9" fontId="12" fillId="4" borderId="0" xfId="0" applyNumberFormat="1" applyFont="1" applyFill="1" applyAlignment="1">
      <alignment vertical="top"/>
    </xf>
    <xf numFmtId="0" fontId="21" fillId="3" borderId="0" xfId="0" applyFont="1" applyFill="1" applyAlignment="1">
      <alignment vertical="top"/>
    </xf>
    <xf numFmtId="0" fontId="22" fillId="0" borderId="0" xfId="0" applyFont="1"/>
    <xf numFmtId="0" fontId="14" fillId="2" borderId="0" xfId="0" applyFont="1" applyFill="1"/>
    <xf numFmtId="165" fontId="12" fillId="2" borderId="0" xfId="1" applyNumberFormat="1" applyFont="1" applyFill="1" applyAlignment="1">
      <alignment vertical="top"/>
    </xf>
    <xf numFmtId="2" fontId="12" fillId="2" borderId="0" xfId="0" applyNumberFormat="1" applyFont="1" applyFill="1" applyAlignment="1">
      <alignment vertical="top"/>
    </xf>
    <xf numFmtId="0" fontId="13" fillId="3" borderId="1" xfId="0" applyFont="1" applyFill="1" applyBorder="1" applyAlignment="1">
      <alignment horizontal="left" wrapText="1"/>
    </xf>
    <xf numFmtId="2" fontId="16" fillId="2" borderId="3" xfId="0" applyNumberFormat="1" applyFont="1" applyFill="1" applyBorder="1" applyAlignment="1">
      <alignment horizontal="right" vertical="top"/>
    </xf>
    <xf numFmtId="165" fontId="16" fillId="2" borderId="3" xfId="1" applyNumberFormat="1" applyFont="1" applyFill="1" applyBorder="1" applyAlignment="1">
      <alignment vertical="top"/>
    </xf>
    <xf numFmtId="0" fontId="16" fillId="2" borderId="0" xfId="0" applyFont="1" applyFill="1" applyAlignment="1">
      <alignment horizontal="right" wrapText="1"/>
    </xf>
    <xf numFmtId="0" fontId="12" fillId="2" borderId="0" xfId="0" applyFont="1" applyFill="1" applyAlignment="1">
      <alignment horizontal="left" vertical="top"/>
    </xf>
    <xf numFmtId="177" fontId="12" fillId="2" borderId="0" xfId="1" applyNumberFormat="1" applyFont="1" applyFill="1" applyAlignment="1">
      <alignment vertical="top"/>
    </xf>
    <xf numFmtId="0" fontId="16" fillId="2" borderId="1" xfId="0" applyFont="1" applyFill="1" applyBorder="1" applyAlignment="1">
      <alignment horizontal="left" wrapText="1"/>
    </xf>
    <xf numFmtId="164" fontId="12" fillId="2" borderId="0" xfId="1" applyNumberFormat="1" applyFont="1" applyFill="1" applyAlignment="1">
      <alignment vertical="top"/>
    </xf>
    <xf numFmtId="164" fontId="16" fillId="2" borderId="3" xfId="1" applyNumberFormat="1" applyFont="1" applyFill="1" applyBorder="1" applyAlignment="1">
      <alignment vertical="top"/>
    </xf>
    <xf numFmtId="0" fontId="16" fillId="4" borderId="0" xfId="0" applyFont="1" applyFill="1" applyAlignment="1">
      <alignment vertical="top"/>
    </xf>
    <xf numFmtId="164" fontId="12" fillId="5" borderId="0" xfId="0" applyNumberFormat="1" applyFont="1" applyFill="1" applyAlignment="1">
      <alignment vertical="top"/>
    </xf>
    <xf numFmtId="0" fontId="23" fillId="2" borderId="0" xfId="0" applyFont="1" applyFill="1" applyAlignment="1">
      <alignment vertical="top"/>
    </xf>
    <xf numFmtId="0" fontId="23" fillId="2" borderId="0" xfId="0" applyFont="1" applyFill="1" applyAlignment="1">
      <alignment horizontal="right" vertical="top" wrapText="1"/>
    </xf>
    <xf numFmtId="166" fontId="23" fillId="2" borderId="0" xfId="0" applyNumberFormat="1" applyFont="1" applyFill="1" applyAlignment="1">
      <alignment horizontal="right" vertical="top" wrapText="1"/>
    </xf>
    <xf numFmtId="0" fontId="16" fillId="2" borderId="0" xfId="0" applyFont="1" applyFill="1" applyAlignment="1">
      <alignment horizontal="right" vertical="top"/>
    </xf>
    <xf numFmtId="166" fontId="23" fillId="2" borderId="0" xfId="0" applyNumberFormat="1" applyFont="1" applyFill="1" applyAlignment="1">
      <alignment vertical="top" wrapText="1"/>
    </xf>
    <xf numFmtId="0" fontId="23" fillId="2" borderId="0" xfId="0" applyFont="1" applyFill="1" applyAlignment="1">
      <alignment vertical="top" wrapText="1"/>
    </xf>
    <xf numFmtId="166" fontId="16" fillId="2" borderId="0" xfId="0" applyNumberFormat="1" applyFont="1" applyFill="1" applyAlignment="1">
      <alignment vertical="top"/>
    </xf>
    <xf numFmtId="0" fontId="25" fillId="2" borderId="0" xfId="0" applyFont="1" applyFill="1" applyAlignment="1">
      <alignment vertical="top"/>
    </xf>
    <xf numFmtId="0" fontId="25" fillId="2" borderId="0" xfId="0" applyFont="1" applyFill="1"/>
    <xf numFmtId="167" fontId="12" fillId="2" borderId="0" xfId="2" applyNumberFormat="1" applyFont="1" applyFill="1" applyAlignment="1">
      <alignment vertical="top"/>
    </xf>
    <xf numFmtId="0" fontId="20" fillId="2" borderId="0" xfId="0" applyFont="1" applyFill="1" applyAlignment="1">
      <alignment vertical="top"/>
    </xf>
    <xf numFmtId="0" fontId="20" fillId="2" borderId="0" xfId="0" applyFont="1" applyFill="1" applyAlignment="1">
      <alignment horizontal="left" vertical="top" indent="3"/>
    </xf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right" vertical="center" wrapText="1"/>
    </xf>
    <xf numFmtId="166" fontId="13" fillId="3" borderId="1" xfId="0" applyNumberFormat="1" applyFont="1" applyFill="1" applyBorder="1" applyAlignment="1">
      <alignment horizontal="right" vertical="center" wrapText="1"/>
    </xf>
    <xf numFmtId="0" fontId="16" fillId="9" borderId="2" xfId="0" applyFont="1" applyFill="1" applyBorder="1" applyAlignment="1">
      <alignment vertical="top"/>
    </xf>
    <xf numFmtId="166" fontId="24" fillId="9" borderId="2" xfId="0" applyNumberFormat="1" applyFont="1" applyFill="1" applyBorder="1" applyAlignment="1">
      <alignment horizontal="right" vertical="top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167" fontId="12" fillId="2" borderId="0" xfId="0" applyNumberFormat="1" applyFont="1" applyFill="1" applyAlignment="1">
      <alignment horizontal="right" vertical="top"/>
    </xf>
    <xf numFmtId="167" fontId="12" fillId="2" borderId="0" xfId="0" applyNumberFormat="1" applyFont="1" applyFill="1" applyAlignment="1">
      <alignment vertical="top"/>
    </xf>
    <xf numFmtId="0" fontId="13" fillId="3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164" fontId="12" fillId="5" borderId="0" xfId="0" applyNumberFormat="1" applyFont="1" applyFill="1" applyAlignment="1">
      <alignment horizontal="center" vertical="top"/>
    </xf>
    <xf numFmtId="9" fontId="26" fillId="2" borderId="0" xfId="2" applyFont="1" applyFill="1" applyAlignment="1">
      <alignment vertical="top"/>
    </xf>
    <xf numFmtId="9" fontId="26" fillId="5" borderId="0" xfId="2" applyFont="1" applyFill="1" applyAlignment="1">
      <alignment vertical="top"/>
    </xf>
    <xf numFmtId="164" fontId="16" fillId="2" borderId="2" xfId="0" applyNumberFormat="1" applyFont="1" applyFill="1" applyBorder="1" applyAlignment="1">
      <alignment vertical="top"/>
    </xf>
    <xf numFmtId="164" fontId="16" fillId="5" borderId="2" xfId="0" applyNumberFormat="1" applyFont="1" applyFill="1" applyBorder="1" applyAlignment="1">
      <alignment vertical="top"/>
    </xf>
    <xf numFmtId="0" fontId="16" fillId="2" borderId="1" xfId="0" applyFont="1" applyFill="1" applyBorder="1" applyAlignment="1">
      <alignment vertical="center"/>
    </xf>
    <xf numFmtId="0" fontId="9" fillId="2" borderId="0" xfId="3" applyFont="1" applyFill="1">
      <alignment vertical="top"/>
    </xf>
    <xf numFmtId="0" fontId="12" fillId="2" borderId="0" xfId="3" applyFont="1" applyFill="1">
      <alignment vertical="top"/>
    </xf>
    <xf numFmtId="0" fontId="16" fillId="2" borderId="1" xfId="3" applyFont="1" applyFill="1" applyBorder="1" applyAlignment="1">
      <alignment horizontal="right" vertical="top" wrapText="1"/>
    </xf>
    <xf numFmtId="0" fontId="16" fillId="5" borderId="1" xfId="3" applyFont="1" applyFill="1" applyBorder="1" applyAlignment="1">
      <alignment horizontal="right" vertical="top" wrapText="1"/>
    </xf>
    <xf numFmtId="165" fontId="12" fillId="2" borderId="0" xfId="4" applyNumberFormat="1" applyFont="1" applyFill="1">
      <alignment vertical="top"/>
    </xf>
    <xf numFmtId="0" fontId="16" fillId="2" borderId="3" xfId="3" applyFont="1" applyFill="1" applyBorder="1">
      <alignment vertical="top"/>
    </xf>
    <xf numFmtId="165" fontId="16" fillId="2" borderId="4" xfId="3" applyNumberFormat="1" applyFont="1" applyFill="1" applyBorder="1" applyAlignment="1"/>
    <xf numFmtId="0" fontId="12" fillId="4" borderId="0" xfId="3" applyFont="1" applyFill="1">
      <alignment vertical="top"/>
    </xf>
    <xf numFmtId="9" fontId="12" fillId="4" borderId="0" xfId="5" applyFont="1" applyFill="1">
      <alignment vertical="top"/>
    </xf>
    <xf numFmtId="9" fontId="12" fillId="4" borderId="0" xfId="5" applyFont="1" applyFill="1" applyAlignment="1">
      <alignment horizontal="right" vertical="top"/>
    </xf>
    <xf numFmtId="0" fontId="12" fillId="4" borderId="0" xfId="3" applyFont="1" applyFill="1" applyAlignment="1">
      <alignment horizontal="right" vertical="top"/>
    </xf>
    <xf numFmtId="9" fontId="12" fillId="4" borderId="0" xfId="3" applyNumberFormat="1" applyFont="1" applyFill="1">
      <alignment vertical="top"/>
    </xf>
    <xf numFmtId="0" fontId="14" fillId="2" borderId="0" xfId="3" applyFont="1" applyFill="1">
      <alignment vertical="top"/>
    </xf>
    <xf numFmtId="0" fontId="16" fillId="2" borderId="1" xfId="3" applyFont="1" applyFill="1" applyBorder="1" applyAlignment="1">
      <alignment vertical="center"/>
    </xf>
    <xf numFmtId="0" fontId="13" fillId="3" borderId="0" xfId="3" applyFont="1" applyFill="1">
      <alignment vertical="top"/>
    </xf>
    <xf numFmtId="165" fontId="16" fillId="5" borderId="4" xfId="3" applyNumberFormat="1" applyFont="1" applyFill="1" applyBorder="1" applyAlignment="1"/>
    <xf numFmtId="164" fontId="12" fillId="2" borderId="0" xfId="3" applyNumberFormat="1" applyFont="1" applyFill="1" applyAlignment="1">
      <alignment horizontal="right" vertical="top"/>
    </xf>
    <xf numFmtId="165" fontId="16" fillId="5" borderId="4" xfId="0" applyNumberFormat="1" applyFont="1" applyFill="1" applyBorder="1"/>
    <xf numFmtId="9" fontId="12" fillId="0" borderId="0" xfId="5" applyFont="1">
      <alignment vertical="top"/>
    </xf>
    <xf numFmtId="9" fontId="16" fillId="2" borderId="2" xfId="0" applyNumberFormat="1" applyFont="1" applyFill="1" applyBorder="1" applyAlignment="1">
      <alignment vertical="top"/>
    </xf>
    <xf numFmtId="167" fontId="12" fillId="2" borderId="0" xfId="5" applyNumberFormat="1" applyFont="1" applyFill="1">
      <alignment vertical="top"/>
    </xf>
    <xf numFmtId="167" fontId="12" fillId="5" borderId="0" xfId="5" applyNumberFormat="1" applyFont="1" applyFill="1">
      <alignment vertical="top"/>
    </xf>
    <xf numFmtId="164" fontId="16" fillId="5" borderId="2" xfId="0" applyNumberFormat="1" applyFont="1" applyFill="1" applyBorder="1" applyAlignment="1">
      <alignment horizontal="right" vertical="top"/>
    </xf>
    <xf numFmtId="9" fontId="12" fillId="7" borderId="0" xfId="5" applyFont="1" applyFill="1">
      <alignment vertical="top"/>
    </xf>
    <xf numFmtId="0" fontId="26" fillId="2" borderId="0" xfId="0" applyFont="1" applyFill="1" applyAlignment="1">
      <alignment vertical="top"/>
    </xf>
    <xf numFmtId="167" fontId="26" fillId="2" borderId="0" xfId="5" applyNumberFormat="1" applyFont="1" applyFill="1">
      <alignment vertical="top"/>
    </xf>
    <xf numFmtId="0" fontId="27" fillId="2" borderId="0" xfId="0" applyFont="1" applyFill="1" applyAlignment="1">
      <alignment vertical="top"/>
    </xf>
    <xf numFmtId="0" fontId="9" fillId="2" borderId="0" xfId="0" applyFont="1" applyFill="1"/>
    <xf numFmtId="0" fontId="16" fillId="2" borderId="0" xfId="0" applyFont="1" applyFill="1"/>
    <xf numFmtId="0" fontId="13" fillId="2" borderId="0" xfId="0" applyFont="1" applyFill="1"/>
    <xf numFmtId="165" fontId="12" fillId="2" borderId="0" xfId="4" applyNumberFormat="1" applyFont="1" applyFill="1" applyAlignment="1"/>
    <xf numFmtId="165" fontId="11" fillId="2" borderId="0" xfId="4" applyNumberFormat="1" applyFont="1" applyFill="1" applyAlignment="1"/>
    <xf numFmtId="165" fontId="12" fillId="2" borderId="0" xfId="0" applyNumberFormat="1" applyFont="1" applyFill="1" applyAlignment="1">
      <alignment horizontal="right" vertical="top"/>
    </xf>
    <xf numFmtId="165" fontId="12" fillId="5" borderId="0" xfId="0" applyNumberFormat="1" applyFont="1" applyFill="1" applyAlignment="1">
      <alignment horizontal="right" vertical="top"/>
    </xf>
    <xf numFmtId="165" fontId="12" fillId="2" borderId="0" xfId="0" applyNumberFormat="1" applyFont="1" applyFill="1"/>
    <xf numFmtId="0" fontId="28" fillId="2" borderId="0" xfId="0" applyFont="1" applyFill="1"/>
    <xf numFmtId="169" fontId="11" fillId="2" borderId="0" xfId="0" applyNumberFormat="1" applyFont="1" applyFill="1"/>
    <xf numFmtId="165" fontId="11" fillId="5" borderId="0" xfId="4" applyNumberFormat="1" applyFont="1" applyFill="1" applyAlignment="1"/>
    <xf numFmtId="9" fontId="16" fillId="2" borderId="2" xfId="0" applyNumberFormat="1" applyFont="1" applyFill="1" applyBorder="1" applyAlignment="1">
      <alignment horizontal="right" vertical="top"/>
    </xf>
    <xf numFmtId="0" fontId="15" fillId="2" borderId="0" xfId="0" applyFont="1" applyFill="1" applyAlignment="1">
      <alignment vertical="top"/>
    </xf>
    <xf numFmtId="170" fontId="12" fillId="2" borderId="0" xfId="4" applyNumberFormat="1" applyFont="1" applyFill="1">
      <alignment vertical="top"/>
    </xf>
    <xf numFmtId="170" fontId="12" fillId="2" borderId="0" xfId="0" applyNumberFormat="1" applyFont="1" applyFill="1" applyAlignment="1">
      <alignment horizontal="right" vertical="top"/>
    </xf>
    <xf numFmtId="170" fontId="12" fillId="0" borderId="0" xfId="4" applyNumberFormat="1" applyFont="1">
      <alignment vertical="top"/>
    </xf>
    <xf numFmtId="168" fontId="12" fillId="5" borderId="0" xfId="4" applyFont="1" applyFill="1">
      <alignment vertical="top"/>
    </xf>
    <xf numFmtId="168" fontId="12" fillId="5" borderId="0" xfId="0" applyNumberFormat="1" applyFont="1" applyFill="1" applyAlignment="1">
      <alignment vertical="top"/>
    </xf>
    <xf numFmtId="170" fontId="12" fillId="4" borderId="0" xfId="4" applyNumberFormat="1" applyFont="1" applyFill="1">
      <alignment vertical="top"/>
    </xf>
    <xf numFmtId="170" fontId="16" fillId="2" borderId="2" xfId="4" applyNumberFormat="1" applyFont="1" applyFill="1" applyBorder="1">
      <alignment vertical="top"/>
    </xf>
    <xf numFmtId="168" fontId="16" fillId="5" borderId="2" xfId="4" applyFont="1" applyFill="1" applyBorder="1">
      <alignment vertical="top"/>
    </xf>
    <xf numFmtId="0" fontId="12" fillId="2" borderId="0" xfId="0" applyFont="1" applyFill="1" applyAlignment="1">
      <alignment vertical="center"/>
    </xf>
    <xf numFmtId="0" fontId="16" fillId="2" borderId="1" xfId="0" applyFont="1" applyFill="1" applyBorder="1" applyAlignment="1">
      <alignment horizontal="right" vertical="center" wrapText="1"/>
    </xf>
    <xf numFmtId="0" fontId="16" fillId="5" borderId="1" xfId="0" applyFont="1" applyFill="1" applyBorder="1" applyAlignment="1">
      <alignment horizontal="right" vertical="center" wrapText="1"/>
    </xf>
    <xf numFmtId="171" fontId="12" fillId="2" borderId="0" xfId="0" applyNumberFormat="1" applyFont="1" applyFill="1" applyAlignment="1">
      <alignment vertical="top"/>
    </xf>
    <xf numFmtId="171" fontId="12" fillId="5" borderId="0" xfId="4" applyNumberFormat="1" applyFont="1" applyFill="1">
      <alignment vertical="top"/>
    </xf>
    <xf numFmtId="9" fontId="13" fillId="3" borderId="0" xfId="0" applyNumberFormat="1" applyFont="1" applyFill="1"/>
    <xf numFmtId="9" fontId="11" fillId="2" borderId="0" xfId="0" applyNumberFormat="1" applyFont="1" applyFill="1"/>
    <xf numFmtId="167" fontId="11" fillId="2" borderId="0" xfId="0" applyNumberFormat="1" applyFont="1" applyFill="1"/>
    <xf numFmtId="170" fontId="11" fillId="2" borderId="0" xfId="4" applyNumberFormat="1" applyFont="1" applyFill="1" applyAlignment="1"/>
    <xf numFmtId="170" fontId="11" fillId="5" borderId="0" xfId="0" applyNumberFormat="1" applyFont="1" applyFill="1" applyAlignment="1">
      <alignment horizontal="right"/>
    </xf>
    <xf numFmtId="170" fontId="11" fillId="2" borderId="0" xfId="0" applyNumberFormat="1" applyFont="1" applyFill="1"/>
    <xf numFmtId="170" fontId="11" fillId="5" borderId="0" xfId="4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167" fontId="11" fillId="5" borderId="0" xfId="0" applyNumberFormat="1" applyFont="1" applyFill="1" applyAlignment="1">
      <alignment horizontal="right"/>
    </xf>
    <xf numFmtId="0" fontId="17" fillId="2" borderId="0" xfId="0" applyFont="1" applyFill="1"/>
    <xf numFmtId="170" fontId="17" fillId="2" borderId="0" xfId="4" applyNumberFormat="1" applyFont="1" applyFill="1" applyAlignment="1"/>
    <xf numFmtId="170" fontId="17" fillId="5" borderId="0" xfId="4" applyNumberFormat="1" applyFont="1" applyFill="1" applyAlignment="1">
      <alignment horizontal="right"/>
    </xf>
    <xf numFmtId="0" fontId="17" fillId="2" borderId="2" xfId="0" applyFont="1" applyFill="1" applyBorder="1"/>
    <xf numFmtId="165" fontId="17" fillId="2" borderId="2" xfId="4" applyNumberFormat="1" applyFont="1" applyFill="1" applyBorder="1" applyAlignment="1"/>
    <xf numFmtId="165" fontId="17" fillId="2" borderId="2" xfId="0" applyNumberFormat="1" applyFont="1" applyFill="1" applyBorder="1"/>
    <xf numFmtId="172" fontId="11" fillId="2" borderId="0" xfId="0" applyNumberFormat="1" applyFont="1" applyFill="1"/>
    <xf numFmtId="165" fontId="17" fillId="5" borderId="2" xfId="4" applyNumberFormat="1" applyFont="1" applyFill="1" applyBorder="1" applyAlignment="1"/>
    <xf numFmtId="165" fontId="12" fillId="5" borderId="0" xfId="4" applyNumberFormat="1" applyFont="1" applyFill="1">
      <alignment vertical="top"/>
    </xf>
    <xf numFmtId="165" fontId="16" fillId="5" borderId="2" xfId="4" applyNumberFormat="1" applyFont="1" applyFill="1" applyBorder="1">
      <alignment vertical="top"/>
    </xf>
    <xf numFmtId="0" fontId="12" fillId="9" borderId="0" xfId="0" applyFont="1" applyFill="1"/>
    <xf numFmtId="1" fontId="12" fillId="9" borderId="0" xfId="0" applyNumberFormat="1" applyFont="1" applyFill="1"/>
    <xf numFmtId="165" fontId="12" fillId="9" borderId="0" xfId="0" applyNumberFormat="1" applyFont="1" applyFill="1"/>
    <xf numFmtId="165" fontId="12" fillId="2" borderId="0" xfId="0" applyNumberFormat="1" applyFont="1" applyFill="1" applyAlignment="1">
      <alignment vertical="top"/>
    </xf>
    <xf numFmtId="165" fontId="16" fillId="2" borderId="0" xfId="0" applyNumberFormat="1" applyFont="1" applyFill="1" applyAlignment="1">
      <alignment vertical="top"/>
    </xf>
    <xf numFmtId="173" fontId="12" fillId="2" borderId="0" xfId="0" applyNumberFormat="1" applyFont="1" applyFill="1" applyAlignment="1">
      <alignment vertical="top"/>
    </xf>
    <xf numFmtId="174" fontId="12" fillId="2" borderId="0" xfId="0" applyNumberFormat="1" applyFont="1" applyFill="1" applyAlignment="1">
      <alignment vertical="top"/>
    </xf>
    <xf numFmtId="167" fontId="26" fillId="5" borderId="0" xfId="4" applyNumberFormat="1" applyFont="1" applyFill="1">
      <alignment vertical="top"/>
    </xf>
    <xf numFmtId="165" fontId="16" fillId="5" borderId="0" xfId="4" applyNumberFormat="1" applyFont="1" applyFill="1">
      <alignment vertical="top"/>
    </xf>
    <xf numFmtId="0" fontId="0" fillId="9" borderId="0" xfId="0" applyFill="1"/>
    <xf numFmtId="175" fontId="11" fillId="2" borderId="0" xfId="0" applyNumberFormat="1" applyFont="1" applyFill="1"/>
    <xf numFmtId="170" fontId="11" fillId="2" borderId="0" xfId="4" applyNumberFormat="1" applyFont="1" applyFill="1" applyAlignment="1">
      <alignment horizontal="right"/>
    </xf>
    <xf numFmtId="165" fontId="11" fillId="2" borderId="0" xfId="4" applyNumberFormat="1" applyFont="1" applyFill="1" applyAlignment="1">
      <alignment horizontal="right"/>
    </xf>
    <xf numFmtId="165" fontId="11" fillId="5" borderId="0" xfId="4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176" fontId="16" fillId="2" borderId="5" xfId="0" applyNumberFormat="1" applyFont="1" applyFill="1" applyBorder="1"/>
    <xf numFmtId="176" fontId="16" fillId="2" borderId="5" xfId="0" applyNumberFormat="1" applyFont="1" applyFill="1" applyBorder="1" applyAlignment="1">
      <alignment horizontal="right"/>
    </xf>
    <xf numFmtId="165" fontId="16" fillId="2" borderId="5" xfId="0" applyNumberFormat="1" applyFont="1" applyFill="1" applyBorder="1" applyAlignment="1">
      <alignment horizontal="right"/>
    </xf>
    <xf numFmtId="165" fontId="16" fillId="5" borderId="5" xfId="0" applyNumberFormat="1" applyFont="1" applyFill="1" applyBorder="1" applyAlignment="1">
      <alignment horizontal="right"/>
    </xf>
    <xf numFmtId="176" fontId="16" fillId="2" borderId="2" xfId="0" applyNumberFormat="1" applyFont="1" applyFill="1" applyBorder="1"/>
    <xf numFmtId="176" fontId="16" fillId="2" borderId="2" xfId="0" applyNumberFormat="1" applyFont="1" applyFill="1" applyBorder="1" applyAlignment="1">
      <alignment horizontal="right"/>
    </xf>
    <xf numFmtId="165" fontId="16" fillId="2" borderId="2" xfId="0" applyNumberFormat="1" applyFont="1" applyFill="1" applyBorder="1" applyAlignment="1">
      <alignment horizontal="right"/>
    </xf>
    <xf numFmtId="165" fontId="16" fillId="2" borderId="2" xfId="0" applyNumberFormat="1" applyFont="1" applyFill="1" applyBorder="1"/>
    <xf numFmtId="165" fontId="16" fillId="5" borderId="2" xfId="0" applyNumberFormat="1" applyFont="1" applyFill="1" applyBorder="1"/>
    <xf numFmtId="175" fontId="9" fillId="2" borderId="0" xfId="0" applyNumberFormat="1" applyFont="1" applyFill="1"/>
    <xf numFmtId="175" fontId="12" fillId="2" borderId="0" xfId="0" applyNumberFormat="1" applyFont="1" applyFill="1"/>
    <xf numFmtId="165" fontId="12" fillId="2" borderId="0" xfId="0" applyNumberFormat="1" applyFont="1" applyFill="1" applyAlignment="1">
      <alignment horizontal="right"/>
    </xf>
    <xf numFmtId="176" fontId="13" fillId="3" borderId="3" xfId="0" applyNumberFormat="1" applyFont="1" applyFill="1" applyBorder="1"/>
    <xf numFmtId="170" fontId="15" fillId="3" borderId="3" xfId="0" applyNumberFormat="1" applyFont="1" applyFill="1" applyBorder="1" applyAlignment="1">
      <alignment horizontal="right"/>
    </xf>
    <xf numFmtId="165" fontId="13" fillId="3" borderId="3" xfId="0" applyNumberFormat="1" applyFont="1" applyFill="1" applyBorder="1" applyAlignment="1">
      <alignment horizontal="right"/>
    </xf>
    <xf numFmtId="170" fontId="12" fillId="2" borderId="0" xfId="0" applyNumberFormat="1" applyFont="1" applyFill="1" applyAlignment="1">
      <alignment horizontal="right"/>
    </xf>
    <xf numFmtId="170" fontId="13" fillId="3" borderId="3" xfId="0" applyNumberFormat="1" applyFont="1" applyFill="1" applyBorder="1" applyAlignment="1">
      <alignment horizontal="right"/>
    </xf>
    <xf numFmtId="175" fontId="11" fillId="9" borderId="0" xfId="0" applyNumberFormat="1" applyFont="1" applyFill="1"/>
    <xf numFmtId="0" fontId="11" fillId="5" borderId="0" xfId="0" applyFont="1" applyFill="1"/>
    <xf numFmtId="168" fontId="11" fillId="2" borderId="0" xfId="0" applyNumberFormat="1" applyFont="1" applyFill="1"/>
    <xf numFmtId="168" fontId="11" fillId="5" borderId="0" xfId="0" applyNumberFormat="1" applyFont="1" applyFill="1"/>
    <xf numFmtId="167" fontId="16" fillId="2" borderId="4" xfId="0" applyNumberFormat="1" applyFont="1" applyFill="1" applyBorder="1"/>
    <xf numFmtId="9" fontId="11" fillId="5" borderId="0" xfId="0" applyNumberFormat="1" applyFont="1" applyFill="1"/>
    <xf numFmtId="167" fontId="11" fillId="5" borderId="0" xfId="0" applyNumberFormat="1" applyFont="1" applyFill="1"/>
    <xf numFmtId="167" fontId="16" fillId="5" borderId="4" xfId="0" applyNumberFormat="1" applyFont="1" applyFill="1" applyBorder="1"/>
    <xf numFmtId="167" fontId="9" fillId="2" borderId="0" xfId="0" applyNumberFormat="1" applyFont="1" applyFill="1"/>
    <xf numFmtId="10" fontId="17" fillId="2" borderId="0" xfId="0" applyNumberFormat="1" applyFont="1" applyFill="1"/>
    <xf numFmtId="9" fontId="17" fillId="2" borderId="0" xfId="0" applyNumberFormat="1" applyFont="1" applyFill="1"/>
    <xf numFmtId="177" fontId="12" fillId="2" borderId="0" xfId="1" applyNumberFormat="1" applyFont="1" applyFill="1" applyAlignment="1">
      <alignment horizontal="right"/>
    </xf>
    <xf numFmtId="177" fontId="12" fillId="5" borderId="0" xfId="1" applyNumberFormat="1" applyFont="1" applyFill="1" applyAlignment="1">
      <alignment horizontal="right"/>
    </xf>
    <xf numFmtId="176" fontId="9" fillId="2" borderId="0" xfId="0" applyNumberFormat="1" applyFont="1" applyFill="1"/>
    <xf numFmtId="0" fontId="17" fillId="0" borderId="0" xfId="0" applyFont="1"/>
    <xf numFmtId="176" fontId="11" fillId="2" borderId="0" xfId="0" applyNumberFormat="1" applyFont="1" applyFill="1"/>
    <xf numFmtId="9" fontId="13" fillId="8" borderId="6" xfId="0" applyNumberFormat="1" applyFont="1" applyFill="1" applyBorder="1" applyAlignment="1">
      <alignment horizontal="center"/>
    </xf>
    <xf numFmtId="164" fontId="11" fillId="5" borderId="0" xfId="0" applyNumberFormat="1" applyFont="1" applyFill="1"/>
    <xf numFmtId="176" fontId="11" fillId="5" borderId="0" xfId="0" applyNumberFormat="1" applyFont="1" applyFill="1"/>
    <xf numFmtId="167" fontId="11" fillId="5" borderId="0" xfId="4" applyNumberFormat="1" applyFont="1" applyFill="1" applyAlignment="1"/>
    <xf numFmtId="164" fontId="11" fillId="2" borderId="0" xfId="0" applyNumberFormat="1" applyFont="1" applyFill="1"/>
    <xf numFmtId="167" fontId="11" fillId="2" borderId="0" xfId="5" applyNumberFormat="1" applyFont="1" applyFill="1" applyAlignment="1"/>
    <xf numFmtId="176" fontId="9" fillId="2" borderId="5" xfId="0" applyNumberFormat="1" applyFont="1" applyFill="1" applyBorder="1"/>
    <xf numFmtId="164" fontId="9" fillId="2" borderId="5" xfId="0" applyNumberFormat="1" applyFont="1" applyFill="1" applyBorder="1"/>
    <xf numFmtId="176" fontId="11" fillId="2" borderId="0" xfId="0" quotePrefix="1" applyNumberFormat="1" applyFont="1" applyFill="1"/>
    <xf numFmtId="176" fontId="13" fillId="3" borderId="0" xfId="0" applyNumberFormat="1" applyFont="1" applyFill="1"/>
    <xf numFmtId="176" fontId="14" fillId="2" borderId="0" xfId="0" applyNumberFormat="1" applyFont="1" applyFill="1"/>
    <xf numFmtId="164" fontId="9" fillId="5" borderId="0" xfId="0" applyNumberFormat="1" applyFont="1" applyFill="1"/>
    <xf numFmtId="0" fontId="29" fillId="2" borderId="0" xfId="7" applyNumberFormat="1" applyFont="1" applyFill="1" applyBorder="1" applyAlignment="1"/>
    <xf numFmtId="176" fontId="17" fillId="2" borderId="0" xfId="0" applyNumberFormat="1" applyFont="1" applyFill="1"/>
    <xf numFmtId="176" fontId="17" fillId="2" borderId="0" xfId="0" applyNumberFormat="1" applyFont="1" applyFill="1" applyAlignment="1">
      <alignment horizontal="center" vertical="center"/>
    </xf>
    <xf numFmtId="176" fontId="11" fillId="2" borderId="1" xfId="0" applyNumberFormat="1" applyFont="1" applyFill="1" applyBorder="1"/>
    <xf numFmtId="0" fontId="0" fillId="9" borderId="1" xfId="0" applyFill="1" applyBorder="1"/>
    <xf numFmtId="176" fontId="9" fillId="2" borderId="3" xfId="0" applyNumberFormat="1" applyFont="1" applyFill="1" applyBorder="1"/>
    <xf numFmtId="0" fontId="0" fillId="9" borderId="3" xfId="0" applyFill="1" applyBorder="1"/>
    <xf numFmtId="164" fontId="16" fillId="5" borderId="3" xfId="0" applyNumberFormat="1" applyFont="1" applyFill="1" applyBorder="1"/>
    <xf numFmtId="176" fontId="9" fillId="2" borderId="14" xfId="0" applyNumberFormat="1" applyFont="1" applyFill="1" applyBorder="1"/>
    <xf numFmtId="0" fontId="0" fillId="9" borderId="14" xfId="0" applyFill="1" applyBorder="1"/>
    <xf numFmtId="167" fontId="11" fillId="5" borderId="14" xfId="4" applyNumberFormat="1" applyFont="1" applyFill="1" applyBorder="1" applyAlignment="1"/>
    <xf numFmtId="164" fontId="9" fillId="5" borderId="14" xfId="0" applyNumberFormat="1" applyFont="1" applyFill="1" applyBorder="1"/>
    <xf numFmtId="165" fontId="17" fillId="2" borderId="0" xfId="4" applyNumberFormat="1" applyFont="1" applyFill="1" applyAlignment="1">
      <alignment horizontal="right"/>
    </xf>
    <xf numFmtId="0" fontId="30" fillId="2" borderId="0" xfId="6" applyFont="1" applyFill="1" applyAlignment="1">
      <alignment vertical="top"/>
    </xf>
    <xf numFmtId="165" fontId="17" fillId="2" borderId="13" xfId="4" applyNumberFormat="1" applyFont="1" applyFill="1" applyBorder="1" applyAlignment="1">
      <alignment horizontal="right"/>
    </xf>
    <xf numFmtId="0" fontId="17" fillId="2" borderId="13" xfId="0" applyFont="1" applyFill="1" applyBorder="1"/>
    <xf numFmtId="0" fontId="13" fillId="6" borderId="0" xfId="0" applyFont="1" applyFill="1" applyAlignment="1">
      <alignment horizontal="center" vertical="top"/>
    </xf>
    <xf numFmtId="0" fontId="13" fillId="3" borderId="1" xfId="0" applyFont="1" applyFill="1" applyBorder="1" applyAlignment="1">
      <alignment horizontal="left"/>
    </xf>
    <xf numFmtId="0" fontId="13" fillId="3" borderId="0" xfId="0" applyFont="1" applyFill="1" applyAlignment="1">
      <alignment horizontal="center" vertical="top"/>
    </xf>
    <xf numFmtId="0" fontId="13" fillId="3" borderId="0" xfId="3" applyFont="1" applyFill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29" fillId="10" borderId="0" xfId="7" applyNumberFormat="1" applyFont="1" applyFill="1" applyBorder="1" applyAlignment="1">
      <alignment horizontal="center"/>
    </xf>
  </cellXfs>
  <cellStyles count="8">
    <cellStyle name="Comma" xfId="1" builtinId="3"/>
    <cellStyle name="Comma 2" xfId="4" xr:uid="{956E104D-087D-4518-ADB5-EE259EC58C85}"/>
    <cellStyle name="Hyperlink" xfId="6" builtinId="8"/>
    <cellStyle name="Normal" xfId="0" builtinId="0"/>
    <cellStyle name="Normal 2" xfId="3" xr:uid="{AC4D0B55-7728-4B4D-96DF-3DA5B6196D8B}"/>
    <cellStyle name="Normal_Project Accel Valuation v56" xfId="7" xr:uid="{012184B7-0E6F-408A-AEAC-7ADD0A6C9503}"/>
    <cellStyle name="Percent" xfId="2" builtinId="5"/>
    <cellStyle name="Percent 2" xfId="5" xr:uid="{CCD44B8D-C170-4EFC-86B8-B3818A71A9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masis MT Pro" panose="02040504050005020304" pitchFamily="18" charset="0"/>
              </a:rPr>
              <a:t> </a:t>
            </a:r>
            <a:r>
              <a:rPr lang="en-US" sz="1400" b="1" i="0" u="none" strike="noStrike" kern="1200" spc="0" baseline="0">
                <a:solidFill>
                  <a:srgbClr val="002060"/>
                </a:solidFill>
                <a:latin typeface="Amasis MT Pro" panose="02040504050005020304" pitchFamily="18" charset="0"/>
              </a:rPr>
              <a:t>Tesla vehicle deliveries 2015-2029 (actuals and forecasts)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'Tesla Automotive Deliveries'!$B$5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'Tesla Automotive Deliveries'!$C$4:$Q$4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 Fcst</c:v>
                </c:pt>
                <c:pt idx="6">
                  <c:v>2021 Fcst</c:v>
                </c:pt>
                <c:pt idx="7">
                  <c:v>2022 Fcst</c:v>
                </c:pt>
                <c:pt idx="8">
                  <c:v>2023 Fcst</c:v>
                </c:pt>
                <c:pt idx="9">
                  <c:v>2024 Fcst</c:v>
                </c:pt>
                <c:pt idx="10">
                  <c:v>2025 Fcst</c:v>
                </c:pt>
                <c:pt idx="11">
                  <c:v>2026 Fcst</c:v>
                </c:pt>
                <c:pt idx="12">
                  <c:v>2027 Fcst</c:v>
                </c:pt>
                <c:pt idx="13">
                  <c:v>2028 Fcst</c:v>
                </c:pt>
                <c:pt idx="14">
                  <c:v>2029 Fcst</c:v>
                </c:pt>
              </c:strCache>
            </c:strRef>
          </c:cat>
          <c:val>
            <c:numRef>
              <c:f>'Tesla Automotive Deliveries'!$C$5:$Q$5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5-4D53-99EB-AB7B1450E690}"/>
            </c:ext>
          </c:extLst>
        </c:ser>
        <c:ser>
          <c:idx val="1"/>
          <c:order val="1"/>
          <c:tx>
            <c:strRef>
              <c:f>'Tesla Automotive Deliveries'!$B$6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'Tesla Automotive Deliveries'!$C$4:$Q$4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 Fcst</c:v>
                </c:pt>
                <c:pt idx="6">
                  <c:v>2021 Fcst</c:v>
                </c:pt>
                <c:pt idx="7">
                  <c:v>2022 Fcst</c:v>
                </c:pt>
                <c:pt idx="8">
                  <c:v>2023 Fcst</c:v>
                </c:pt>
                <c:pt idx="9">
                  <c:v>2024 Fcst</c:v>
                </c:pt>
                <c:pt idx="10">
                  <c:v>2025 Fcst</c:v>
                </c:pt>
                <c:pt idx="11">
                  <c:v>2026 Fcst</c:v>
                </c:pt>
                <c:pt idx="12">
                  <c:v>2027 Fcst</c:v>
                </c:pt>
                <c:pt idx="13">
                  <c:v>2028 Fcst</c:v>
                </c:pt>
                <c:pt idx="14">
                  <c:v>2029 Fcst</c:v>
                </c:pt>
              </c:strCache>
            </c:strRef>
          </c:cat>
          <c:val>
            <c:numRef>
              <c:f>'Tesla Automotive Deliveries'!$C$6:$Q$6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5-4D53-99EB-AB7B1450E690}"/>
            </c:ext>
          </c:extLst>
        </c:ser>
        <c:ser>
          <c:idx val="2"/>
          <c:order val="2"/>
          <c:tx>
            <c:strRef>
              <c:f>'Tesla Automotive Deliveries'!$B$7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'Tesla Automotive Deliveries'!$C$4:$Q$4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 Fcst</c:v>
                </c:pt>
                <c:pt idx="6">
                  <c:v>2021 Fcst</c:v>
                </c:pt>
                <c:pt idx="7">
                  <c:v>2022 Fcst</c:v>
                </c:pt>
                <c:pt idx="8">
                  <c:v>2023 Fcst</c:v>
                </c:pt>
                <c:pt idx="9">
                  <c:v>2024 Fcst</c:v>
                </c:pt>
                <c:pt idx="10">
                  <c:v>2025 Fcst</c:v>
                </c:pt>
                <c:pt idx="11">
                  <c:v>2026 Fcst</c:v>
                </c:pt>
                <c:pt idx="12">
                  <c:v>2027 Fcst</c:v>
                </c:pt>
                <c:pt idx="13">
                  <c:v>2028 Fcst</c:v>
                </c:pt>
                <c:pt idx="14">
                  <c:v>2029 Fcst</c:v>
                </c:pt>
              </c:strCache>
            </c:strRef>
          </c:cat>
          <c:val>
            <c:numRef>
              <c:f>'Tesla Automotive Deliveries'!$C$7:$Q$7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 formatCode="General">
                  <c:v>481304</c:v>
                </c:pt>
                <c:pt idx="9" formatCode="General">
                  <c:v>529434.4</c:v>
                </c:pt>
                <c:pt idx="10" formatCode="General">
                  <c:v>582377.84000000008</c:v>
                </c:pt>
                <c:pt idx="11" formatCode="General">
                  <c:v>628968.06720000017</c:v>
                </c:pt>
                <c:pt idx="12" formatCode="General">
                  <c:v>679285.51257600018</c:v>
                </c:pt>
                <c:pt idx="13" formatCode="General">
                  <c:v>706456.93307904026</c:v>
                </c:pt>
                <c:pt idx="14" formatCode="General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F5-4D53-99EB-AB7B1450E690}"/>
            </c:ext>
          </c:extLst>
        </c:ser>
        <c:ser>
          <c:idx val="3"/>
          <c:order val="3"/>
          <c:tx>
            <c:strRef>
              <c:f>'Tesla Automotive Deliveries'!$B$8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1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'Tesla Automotive Deliveries'!$C$4:$Q$4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 Fcst</c:v>
                </c:pt>
                <c:pt idx="6">
                  <c:v>2021 Fcst</c:v>
                </c:pt>
                <c:pt idx="7">
                  <c:v>2022 Fcst</c:v>
                </c:pt>
                <c:pt idx="8">
                  <c:v>2023 Fcst</c:v>
                </c:pt>
                <c:pt idx="9">
                  <c:v>2024 Fcst</c:v>
                </c:pt>
                <c:pt idx="10">
                  <c:v>2025 Fcst</c:v>
                </c:pt>
                <c:pt idx="11">
                  <c:v>2026 Fcst</c:v>
                </c:pt>
                <c:pt idx="12">
                  <c:v>2027 Fcst</c:v>
                </c:pt>
                <c:pt idx="13">
                  <c:v>2028 Fcst</c:v>
                </c:pt>
                <c:pt idx="14">
                  <c:v>2029 Fcst</c:v>
                </c:pt>
              </c:strCache>
            </c:strRef>
          </c:cat>
          <c:val>
            <c:numRef>
              <c:f>'Tesla Automotive Deliveries'!$C$8:$Q$8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F5-4D53-99EB-AB7B1450E690}"/>
            </c:ext>
          </c:extLst>
        </c:ser>
        <c:ser>
          <c:idx val="4"/>
          <c:order val="4"/>
          <c:tx>
            <c:strRef>
              <c:f>'Tesla Automotive Deliveries'!$B$9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'Tesla Automotive Deliveries'!$C$4:$Q$4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 Fcst</c:v>
                </c:pt>
                <c:pt idx="6">
                  <c:v>2021 Fcst</c:v>
                </c:pt>
                <c:pt idx="7">
                  <c:v>2022 Fcst</c:v>
                </c:pt>
                <c:pt idx="8">
                  <c:v>2023 Fcst</c:v>
                </c:pt>
                <c:pt idx="9">
                  <c:v>2024 Fcst</c:v>
                </c:pt>
                <c:pt idx="10">
                  <c:v>2025 Fcst</c:v>
                </c:pt>
                <c:pt idx="11">
                  <c:v>2026 Fcst</c:v>
                </c:pt>
                <c:pt idx="12">
                  <c:v>2027 Fcst</c:v>
                </c:pt>
                <c:pt idx="13">
                  <c:v>2028 Fcst</c:v>
                </c:pt>
                <c:pt idx="14">
                  <c:v>2029 Fcst</c:v>
                </c:pt>
              </c:strCache>
            </c:strRef>
          </c:cat>
          <c:val>
            <c:numRef>
              <c:f>'Tesla Automotive Deliveries'!$C$9:$Q$9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F5-4D53-99EB-AB7B1450E690}"/>
            </c:ext>
          </c:extLst>
        </c:ser>
        <c:ser>
          <c:idx val="5"/>
          <c:order val="5"/>
          <c:tx>
            <c:strRef>
              <c:f>'Tesla Automotive Deliveries'!$B$10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1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'Tesla Automotive Deliveries'!$C$4:$Q$4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 Fcst</c:v>
                </c:pt>
                <c:pt idx="6">
                  <c:v>2021 Fcst</c:v>
                </c:pt>
                <c:pt idx="7">
                  <c:v>2022 Fcst</c:v>
                </c:pt>
                <c:pt idx="8">
                  <c:v>2023 Fcst</c:v>
                </c:pt>
                <c:pt idx="9">
                  <c:v>2024 Fcst</c:v>
                </c:pt>
                <c:pt idx="10">
                  <c:v>2025 Fcst</c:v>
                </c:pt>
                <c:pt idx="11">
                  <c:v>2026 Fcst</c:v>
                </c:pt>
                <c:pt idx="12">
                  <c:v>2027 Fcst</c:v>
                </c:pt>
                <c:pt idx="13">
                  <c:v>2028 Fcst</c:v>
                </c:pt>
                <c:pt idx="14">
                  <c:v>2029 Fcst</c:v>
                </c:pt>
              </c:strCache>
            </c:strRef>
          </c:cat>
          <c:val>
            <c:numRef>
              <c:f>'Tesla Automotive Deliveries'!$C$10:$Q$10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F5-4D53-99EB-AB7B1450E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678591"/>
        <c:axId val="294810639"/>
      </c:barChart>
      <c:catAx>
        <c:axId val="13067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810639"/>
        <c:crosses val="autoZero"/>
        <c:auto val="1"/>
        <c:lblAlgn val="ctr"/>
        <c:lblOffset val="100"/>
        <c:noMultiLvlLbl val="0"/>
      </c:catAx>
      <c:valAx>
        <c:axId val="2948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7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002060"/>
                </a:solidFill>
                <a:latin typeface="Amasis MT Pro" panose="02040504050005020304" pitchFamily="18" charset="0"/>
              </a:rPr>
              <a:t> Revenue and Gross Profit automotive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and GP Automative Chart'!$B$4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'Revenue and GP Automative Chart'!$C$3:$P$3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and GP Automative Chart'!$C$4:$P$4</c:f>
              <c:numCache>
                <c:formatCode>_(* #,##0_);_(* \(#,##0\);_(* "-"?_);@_)</c:formatCode>
                <c:ptCount val="14"/>
                <c:pt idx="0">
                  <c:v>6350.7659999999996</c:v>
                </c:pt>
                <c:pt idx="1">
                  <c:v>9641.3000000000011</c:v>
                </c:pt>
                <c:pt idx="2">
                  <c:v>18514.982999999997</c:v>
                </c:pt>
                <c:pt idx="3">
                  <c:v>20821</c:v>
                </c:pt>
                <c:pt idx="4">
                  <c:v>33883.553108619999</c:v>
                </c:pt>
                <c:pt idx="5">
                  <c:v>45867.036211716804</c:v>
                </c:pt>
                <c:pt idx="6">
                  <c:v>63702.852411189822</c:v>
                </c:pt>
                <c:pt idx="7">
                  <c:v>83153.75731249094</c:v>
                </c:pt>
                <c:pt idx="8">
                  <c:v>95455.729064474013</c:v>
                </c:pt>
                <c:pt idx="9">
                  <c:v>102245.44365321465</c:v>
                </c:pt>
                <c:pt idx="10">
                  <c:v>108879.18438402501</c:v>
                </c:pt>
                <c:pt idx="11">
                  <c:v>115602.36156379257</c:v>
                </c:pt>
                <c:pt idx="12">
                  <c:v>121093.30083140421</c:v>
                </c:pt>
                <c:pt idx="13">
                  <c:v>125937.03286466037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6-4225-8522-AE5892E417BA}"/>
            </c:ext>
          </c:extLst>
        </c:ser>
        <c:ser>
          <c:idx val="1"/>
          <c:order val="1"/>
          <c:tx>
            <c:strRef>
              <c:f>'Revenue and GP Automative Chart'!$B$5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and GP Automative Chart'!$C$3:$P$3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and GP Automative Chart'!$C$5:$P$5</c:f>
              <c:numCache>
                <c:formatCode>_(* #,##0_);_(* \(#,##0\);_(* "-"?_);@_)</c:formatCode>
                <c:ptCount val="14"/>
                <c:pt idx="0">
                  <c:v>1600.6849999999999</c:v>
                </c:pt>
                <c:pt idx="1">
                  <c:v>2208.596</c:v>
                </c:pt>
                <c:pt idx="2">
                  <c:v>4340.9859999999999</c:v>
                </c:pt>
                <c:pt idx="3">
                  <c:v>4423</c:v>
                </c:pt>
                <c:pt idx="4">
                  <c:v>8071.9691543670451</c:v>
                </c:pt>
                <c:pt idx="5">
                  <c:v>10325.640809051743</c:v>
                </c:pt>
                <c:pt idx="6">
                  <c:v>13798.657408930816</c:v>
                </c:pt>
                <c:pt idx="7">
                  <c:v>17537.916722656959</c:v>
                </c:pt>
                <c:pt idx="8">
                  <c:v>20096.145535967764</c:v>
                </c:pt>
                <c:pt idx="9">
                  <c:v>21448.642533124475</c:v>
                </c:pt>
                <c:pt idx="10">
                  <c:v>22785.877988356722</c:v>
                </c:pt>
                <c:pt idx="11">
                  <c:v>24134.922661394874</c:v>
                </c:pt>
                <c:pt idx="12">
                  <c:v>25283.142214563311</c:v>
                </c:pt>
                <c:pt idx="13">
                  <c:v>26294.46790314584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C6-4225-8522-AE5892E41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249679"/>
        <c:axId val="125254863"/>
      </c:barChart>
      <c:lineChart>
        <c:grouping val="standard"/>
        <c:varyColors val="0"/>
        <c:ser>
          <c:idx val="2"/>
          <c:order val="2"/>
          <c:tx>
            <c:strRef>
              <c:f>'Revenue and GP Automative Chart'!$B$6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'Revenue and GP Automative Chart'!$C$3:$P$3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and GP Automative Chart'!$C$6:$P$6</c:f>
              <c:numCache>
                <c:formatCode>0%</c:formatCode>
                <c:ptCount val="14"/>
                <c:pt idx="0">
                  <c:v>0.25204597366679865</c:v>
                </c:pt>
                <c:pt idx="1">
                  <c:v>0.22907657681018118</c:v>
                </c:pt>
                <c:pt idx="2">
                  <c:v>0.23445800625363797</c:v>
                </c:pt>
                <c:pt idx="3">
                  <c:v>0.21242975841698286</c:v>
                </c:pt>
                <c:pt idx="4">
                  <c:v>0.23822676236139859</c:v>
                </c:pt>
                <c:pt idx="5">
                  <c:v>0.22512116896739978</c:v>
                </c:pt>
                <c:pt idx="6">
                  <c:v>0.21660972604276965</c:v>
                </c:pt>
                <c:pt idx="7">
                  <c:v>0.21090949212011736</c:v>
                </c:pt>
                <c:pt idx="8">
                  <c:v>0.21052843797771584</c:v>
                </c:pt>
                <c:pt idx="9">
                  <c:v>0.20977602293821254</c:v>
                </c:pt>
                <c:pt idx="10">
                  <c:v>0.20927671452781305</c:v>
                </c:pt>
                <c:pt idx="11">
                  <c:v>0.20877534277772136</c:v>
                </c:pt>
                <c:pt idx="12">
                  <c:v>0.20879059403760517</c:v>
                </c:pt>
                <c:pt idx="13">
                  <c:v>0.20879059403760514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C6-4225-8522-AE5892E41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248287"/>
        <c:axId val="125246223"/>
      </c:lineChart>
      <c:catAx>
        <c:axId val="2792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54863"/>
        <c:crosses val="autoZero"/>
        <c:auto val="1"/>
        <c:lblAlgn val="ctr"/>
        <c:lblOffset val="100"/>
        <c:noMultiLvlLbl val="0"/>
      </c:catAx>
      <c:valAx>
        <c:axId val="12525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49679"/>
        <c:crosses val="autoZero"/>
        <c:crossBetween val="between"/>
      </c:valAx>
      <c:valAx>
        <c:axId val="12524622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48287"/>
        <c:crosses val="max"/>
        <c:crossBetween val="between"/>
      </c:valAx>
      <c:catAx>
        <c:axId val="279248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2462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from different types of vehicles sold: 2020 - 2029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by type of car'!$B$5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type of car'!$C$3:$Q$4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'Revenue by type of car'!$C$5:$Q$5</c:f>
              <c:numCache>
                <c:formatCode>_(* #,##0_);_(* \(#,##0\);_(* "-"?_);@_)</c:formatCode>
                <c:ptCount val="15"/>
                <c:pt idx="2">
                  <c:v>88.268788561549911</c:v>
                </c:pt>
                <c:pt idx="3">
                  <c:v>8136.4830442748871</c:v>
                </c:pt>
                <c:pt idx="4">
                  <c:v>14705.599268864924</c:v>
                </c:pt>
                <c:pt idx="5">
                  <c:v>26587.1366992</c:v>
                </c:pt>
                <c:pt idx="6">
                  <c:v>29245.850369120002</c:v>
                </c:pt>
                <c:pt idx="7">
                  <c:v>32170.435406032004</c:v>
                </c:pt>
                <c:pt idx="8">
                  <c:v>34744.070238514563</c:v>
                </c:pt>
                <c:pt idx="9">
                  <c:v>37523.595857595734</c:v>
                </c:pt>
                <c:pt idx="10">
                  <c:v>39024.539691899576</c:v>
                </c:pt>
                <c:pt idx="11">
                  <c:v>40585.521279575543</c:v>
                </c:pt>
                <c:pt idx="12">
                  <c:v>42208.942130758573</c:v>
                </c:pt>
                <c:pt idx="13">
                  <c:v>43897.299815988925</c:v>
                </c:pt>
                <c:pt idx="14">
                  <c:v>45653.191808628479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7-449F-980D-84A2864186DC}"/>
            </c:ext>
          </c:extLst>
        </c:ser>
        <c:ser>
          <c:idx val="1"/>
          <c:order val="1"/>
          <c:tx>
            <c:strRef>
              <c:f>'Revenue by type of car'!$B$6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type of car'!$C$3:$Q$4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'Revenue by type of car'!$C$6:$Q$6</c:f>
              <c:numCache>
                <c:formatCode>_(* #,##0_);_(* \(#,##0\);_(* "-"?_);@_)</c:formatCode>
                <c:ptCount val="15"/>
                <c:pt idx="0">
                  <c:v>3740.973</c:v>
                </c:pt>
                <c:pt idx="1">
                  <c:v>6350.7659999999996</c:v>
                </c:pt>
                <c:pt idx="2">
                  <c:v>9553.0312114384506</c:v>
                </c:pt>
                <c:pt idx="3">
                  <c:v>10378.49995572511</c:v>
                </c:pt>
                <c:pt idx="4">
                  <c:v>6115.4007311350751</c:v>
                </c:pt>
                <c:pt idx="5">
                  <c:v>7186.6603294200013</c:v>
                </c:pt>
                <c:pt idx="6">
                  <c:v>7474.1267425968017</c:v>
                </c:pt>
                <c:pt idx="7">
                  <c:v>7773.0918123006732</c:v>
                </c:pt>
                <c:pt idx="8">
                  <c:v>8084.0154847927015</c:v>
                </c:pt>
                <c:pt idx="9">
                  <c:v>8407.37610418441</c:v>
                </c:pt>
                <c:pt idx="10">
                  <c:v>8743.6711483517865</c:v>
                </c:pt>
                <c:pt idx="11">
                  <c:v>9093.4179942858573</c:v>
                </c:pt>
                <c:pt idx="12">
                  <c:v>9457.1547140572929</c:v>
                </c:pt>
                <c:pt idx="13">
                  <c:v>9835.4409026195844</c:v>
                </c:pt>
                <c:pt idx="14">
                  <c:v>10228.858538724369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97-449F-980D-84A2864186DC}"/>
            </c:ext>
          </c:extLst>
        </c:ser>
        <c:ser>
          <c:idx val="2"/>
          <c:order val="2"/>
          <c:tx>
            <c:strRef>
              <c:f>'Revenue by type of car'!$B$7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'Revenue by type of car'!$C$3:$Q$4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'Revenue by type of car'!$C$7:$Q$7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109.75608</c:v>
                </c:pt>
                <c:pt idx="6">
                  <c:v>9087.5421000000006</c:v>
                </c:pt>
                <c:pt idx="7">
                  <c:v>18716.709299999999</c:v>
                </c:pt>
                <c:pt idx="8">
                  <c:v>29946.73488</c:v>
                </c:pt>
                <c:pt idx="9">
                  <c:v>32941.408367999997</c:v>
                </c:pt>
                <c:pt idx="10">
                  <c:v>36235.549204800009</c:v>
                </c:pt>
                <c:pt idx="11">
                  <c:v>39134.393141184017</c:v>
                </c:pt>
                <c:pt idx="12">
                  <c:v>42265.144592478726</c:v>
                </c:pt>
                <c:pt idx="13">
                  <c:v>43955.750376177886</c:v>
                </c:pt>
                <c:pt idx="14">
                  <c:v>45713.980391225006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97-449F-980D-84A2864186DC}"/>
            </c:ext>
          </c:extLst>
        </c:ser>
        <c:ser>
          <c:idx val="3"/>
          <c:order val="3"/>
          <c:tx>
            <c:strRef>
              <c:f>'Revenue by type of car'!$B$8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'Revenue by type of car'!$C$3:$Q$4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'Revenue by type of car'!$C$8:$Q$8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114.75</c:v>
                </c:pt>
                <c:pt idx="8">
                  <c:v>229.5</c:v>
                </c:pt>
                <c:pt idx="9">
                  <c:v>344.25</c:v>
                </c:pt>
                <c:pt idx="10">
                  <c:v>378.67500000000007</c:v>
                </c:pt>
                <c:pt idx="11">
                  <c:v>416.54250000000013</c:v>
                </c:pt>
                <c:pt idx="12">
                  <c:v>449.86590000000018</c:v>
                </c:pt>
                <c:pt idx="13">
                  <c:v>485.85517200000027</c:v>
                </c:pt>
                <c:pt idx="14">
                  <c:v>505.28937888000024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97-449F-980D-84A2864186DC}"/>
            </c:ext>
          </c:extLst>
        </c:ser>
        <c:ser>
          <c:idx val="4"/>
          <c:order val="4"/>
          <c:tx>
            <c:strRef>
              <c:f>'Revenue by type of car'!$B$9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'Revenue by type of car'!$C$3:$Q$4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'Revenue by type of car'!$C$9:$Q$9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14.891999999999999</c:v>
                </c:pt>
                <c:pt idx="7">
                  <c:v>1233.0221428571429</c:v>
                </c:pt>
                <c:pt idx="8">
                  <c:v>2539.5334353741505</c:v>
                </c:pt>
                <c:pt idx="9">
                  <c:v>4063.2534965986406</c:v>
                </c:pt>
                <c:pt idx="10">
                  <c:v>4469.5788462585051</c:v>
                </c:pt>
                <c:pt idx="11">
                  <c:v>4916.5367308843552</c:v>
                </c:pt>
                <c:pt idx="12">
                  <c:v>5309.8596693551053</c:v>
                </c:pt>
                <c:pt idx="13">
                  <c:v>5734.6484429035136</c:v>
                </c:pt>
                <c:pt idx="14">
                  <c:v>5964.0343806196543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97-449F-980D-84A2864186DC}"/>
            </c:ext>
          </c:extLst>
        </c:ser>
        <c:ser>
          <c:idx val="5"/>
          <c:order val="5"/>
          <c:tx>
            <c:strRef>
              <c:f>'Revenue by type of car'!$B$10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'Revenue by type of car'!$C$3:$Q$4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'Revenue by type of car'!$C$10:$Q$10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44.625</c:v>
                </c:pt>
                <c:pt idx="7">
                  <c:v>3694.84375</c:v>
                </c:pt>
                <c:pt idx="8">
                  <c:v>7609.9032738095257</c:v>
                </c:pt>
                <c:pt idx="9">
                  <c:v>12175.845238095242</c:v>
                </c:pt>
                <c:pt idx="10">
                  <c:v>13393.429761904767</c:v>
                </c:pt>
                <c:pt idx="11">
                  <c:v>14732.772738095246</c:v>
                </c:pt>
                <c:pt idx="12">
                  <c:v>15911.394557142865</c:v>
                </c:pt>
                <c:pt idx="13">
                  <c:v>17184.306121714297</c:v>
                </c:pt>
                <c:pt idx="14">
                  <c:v>17871.67836658287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97-449F-980D-84A2864186DC}"/>
            </c:ext>
          </c:extLst>
        </c:ser>
        <c:ser>
          <c:idx val="6"/>
          <c:order val="6"/>
          <c:tx>
            <c:strRef>
              <c:f>'Revenue by type of car'!$B$11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'Revenue by type of car'!$C$3:$Q$4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'Revenue by type of car'!$C$11:$Q$11</c:f>
              <c:numCache>
                <c:formatCode>_(* #,##0_);_(* \(#,##0\);_(* "-"??_);_(@_)</c:formatCode>
                <c:ptCount val="15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18514.982999999997</c:v>
                </c:pt>
                <c:pt idx="4">
                  <c:v>20821</c:v>
                </c:pt>
                <c:pt idx="5">
                  <c:v>33883.553108619999</c:v>
                </c:pt>
                <c:pt idx="6">
                  <c:v>45867.036211716804</c:v>
                </c:pt>
                <c:pt idx="7">
                  <c:v>63702.852411189822</c:v>
                </c:pt>
                <c:pt idx="8">
                  <c:v>83153.75731249094</c:v>
                </c:pt>
                <c:pt idx="9">
                  <c:v>95455.729064474013</c:v>
                </c:pt>
                <c:pt idx="10">
                  <c:v>102245.44365321465</c:v>
                </c:pt>
                <c:pt idx="11">
                  <c:v>108879.18438402501</c:v>
                </c:pt>
                <c:pt idx="12">
                  <c:v>115602.36156379257</c:v>
                </c:pt>
                <c:pt idx="13">
                  <c:v>121093.30083140421</c:v>
                </c:pt>
                <c:pt idx="14">
                  <c:v>125937.03286466037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97-449F-980D-84A286418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overlap val="100"/>
        <c:axId val="1915156576"/>
        <c:axId val="1863183952"/>
      </c:barChart>
      <c:catAx>
        <c:axId val="191515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183952"/>
        <c:crosses val="autoZero"/>
        <c:auto val="1"/>
        <c:lblAlgn val="ctr"/>
        <c:lblOffset val="100"/>
        <c:noMultiLvlLbl val="0"/>
      </c:catAx>
      <c:valAx>
        <c:axId val="186318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15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from different types of vehicles sold: 2020 - 2029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'Types of vehicles'!$C$5:$H$5</c:f>
              <c:strCache>
                <c:ptCount val="6"/>
                <c:pt idx="0">
                  <c:v>Car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'Types of vehicles'!$I$4:$R$4</c:f>
              <c:strCache>
                <c:ptCount val="10"/>
                <c:pt idx="0">
                  <c:v>2020
Fcst</c:v>
                </c:pt>
                <c:pt idx="1">
                  <c:v>2021
Fcst</c:v>
                </c:pt>
                <c:pt idx="2">
                  <c:v>2022
Fcst</c:v>
                </c:pt>
                <c:pt idx="3">
                  <c:v>2023
Fcst</c:v>
                </c:pt>
                <c:pt idx="4">
                  <c:v>2024
Fcst</c:v>
                </c:pt>
                <c:pt idx="5">
                  <c:v>2025
Fcst</c:v>
                </c:pt>
                <c:pt idx="6">
                  <c:v>2026
Fcst</c:v>
                </c:pt>
                <c:pt idx="7">
                  <c:v>2027
Fcst</c:v>
                </c:pt>
                <c:pt idx="8">
                  <c:v>2028
Fcst</c:v>
                </c:pt>
                <c:pt idx="9">
                  <c:v>2029
Fcst</c:v>
                </c:pt>
              </c:strCache>
            </c:strRef>
          </c:cat>
          <c:val>
            <c:numRef>
              <c:f>'Types of vehicles'!$I$5:$R$5</c:f>
              <c:numCache>
                <c:formatCode>_(* #,##0_);_(* \(#,##0\);_(* "-"?_);@_)</c:formatCode>
                <c:ptCount val="10"/>
                <c:pt idx="0">
                  <c:v>33883.553108619999</c:v>
                </c:pt>
                <c:pt idx="1">
                  <c:v>45807.519211716804</c:v>
                </c:pt>
                <c:pt idx="2">
                  <c:v>58774.986518332676</c:v>
                </c:pt>
                <c:pt idx="3">
                  <c:v>73004.320603307264</c:v>
                </c:pt>
                <c:pt idx="4">
                  <c:v>79216.630329780135</c:v>
                </c:pt>
                <c:pt idx="5">
                  <c:v>84382.435045051374</c:v>
                </c:pt>
                <c:pt idx="6">
                  <c:v>89229.87491504541</c:v>
                </c:pt>
                <c:pt idx="7">
                  <c:v>94381.107337294598</c:v>
                </c:pt>
                <c:pt idx="8">
                  <c:v>98174.346266786393</c:v>
                </c:pt>
                <c:pt idx="9">
                  <c:v>102101.32011745786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1-4C06-8970-5ABA8B0C483A}"/>
            </c:ext>
          </c:extLst>
        </c:ser>
        <c:ser>
          <c:idx val="1"/>
          <c:order val="1"/>
          <c:tx>
            <c:strRef>
              <c:f>'Types of vehicles'!$C$6:$H$6</c:f>
              <c:strCache>
                <c:ptCount val="6"/>
                <c:pt idx="0">
                  <c:v>Pickup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'Types of vehicles'!$I$4:$R$4</c:f>
              <c:strCache>
                <c:ptCount val="10"/>
                <c:pt idx="0">
                  <c:v>2020
Fcst</c:v>
                </c:pt>
                <c:pt idx="1">
                  <c:v>2021
Fcst</c:v>
                </c:pt>
                <c:pt idx="2">
                  <c:v>2022
Fcst</c:v>
                </c:pt>
                <c:pt idx="3">
                  <c:v>2023
Fcst</c:v>
                </c:pt>
                <c:pt idx="4">
                  <c:v>2024
Fcst</c:v>
                </c:pt>
                <c:pt idx="5">
                  <c:v>2025
Fcst</c:v>
                </c:pt>
                <c:pt idx="6">
                  <c:v>2026
Fcst</c:v>
                </c:pt>
                <c:pt idx="7">
                  <c:v>2027
Fcst</c:v>
                </c:pt>
                <c:pt idx="8">
                  <c:v>2028
Fcst</c:v>
                </c:pt>
                <c:pt idx="9">
                  <c:v>2029
Fcst</c:v>
                </c:pt>
              </c:strCache>
            </c:strRef>
          </c:cat>
          <c:val>
            <c:numRef>
              <c:f>'Types of vehicles'!$I$6:$R$6</c:f>
              <c:numCache>
                <c:formatCode>_(* #,##0_);_(* \(#,##0\);_(* "-"?_);@_)</c:formatCode>
                <c:ptCount val="10"/>
                <c:pt idx="0">
                  <c:v>0</c:v>
                </c:pt>
                <c:pt idx="1">
                  <c:v>14.891999999999999</c:v>
                </c:pt>
                <c:pt idx="2">
                  <c:v>1233.0221428571429</c:v>
                </c:pt>
                <c:pt idx="3">
                  <c:v>2539.5334353741505</c:v>
                </c:pt>
                <c:pt idx="4">
                  <c:v>4063.2534965986406</c:v>
                </c:pt>
                <c:pt idx="5">
                  <c:v>4469.5788462585051</c:v>
                </c:pt>
                <c:pt idx="6">
                  <c:v>4916.5367308843552</c:v>
                </c:pt>
                <c:pt idx="7">
                  <c:v>5309.8596693551053</c:v>
                </c:pt>
                <c:pt idx="8">
                  <c:v>5734.6484429035136</c:v>
                </c:pt>
                <c:pt idx="9">
                  <c:v>5964.0343806196543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81-4C06-8970-5ABA8B0C483A}"/>
            </c:ext>
          </c:extLst>
        </c:ser>
        <c:ser>
          <c:idx val="2"/>
          <c:order val="2"/>
          <c:tx>
            <c:strRef>
              <c:f>'Types of vehicles'!$C$7:$H$7</c:f>
              <c:strCache>
                <c:ptCount val="6"/>
                <c:pt idx="0">
                  <c:v>Truck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'Types of vehicles'!$I$4:$R$4</c:f>
              <c:strCache>
                <c:ptCount val="10"/>
                <c:pt idx="0">
                  <c:v>2020
Fcst</c:v>
                </c:pt>
                <c:pt idx="1">
                  <c:v>2021
Fcst</c:v>
                </c:pt>
                <c:pt idx="2">
                  <c:v>2022
Fcst</c:v>
                </c:pt>
                <c:pt idx="3">
                  <c:v>2023
Fcst</c:v>
                </c:pt>
                <c:pt idx="4">
                  <c:v>2024
Fcst</c:v>
                </c:pt>
                <c:pt idx="5">
                  <c:v>2025
Fcst</c:v>
                </c:pt>
                <c:pt idx="6">
                  <c:v>2026
Fcst</c:v>
                </c:pt>
                <c:pt idx="7">
                  <c:v>2027
Fcst</c:v>
                </c:pt>
                <c:pt idx="8">
                  <c:v>2028
Fcst</c:v>
                </c:pt>
                <c:pt idx="9">
                  <c:v>2029
Fcst</c:v>
                </c:pt>
              </c:strCache>
            </c:strRef>
          </c:cat>
          <c:val>
            <c:numRef>
              <c:f>'Types of vehicles'!$I$7:$R$7</c:f>
              <c:numCache>
                <c:formatCode>_(* #,##0_);_(* \(#,##0\);_(* "-"?_);@_)</c:formatCode>
                <c:ptCount val="10"/>
                <c:pt idx="0">
                  <c:v>0</c:v>
                </c:pt>
                <c:pt idx="1">
                  <c:v>44.625</c:v>
                </c:pt>
                <c:pt idx="2">
                  <c:v>3694.84375</c:v>
                </c:pt>
                <c:pt idx="3">
                  <c:v>7609.9032738095257</c:v>
                </c:pt>
                <c:pt idx="4">
                  <c:v>12175.845238095242</c:v>
                </c:pt>
                <c:pt idx="5">
                  <c:v>13393.429761904767</c:v>
                </c:pt>
                <c:pt idx="6">
                  <c:v>14732.772738095246</c:v>
                </c:pt>
                <c:pt idx="7">
                  <c:v>15911.394557142865</c:v>
                </c:pt>
                <c:pt idx="8">
                  <c:v>17184.306121714297</c:v>
                </c:pt>
                <c:pt idx="9">
                  <c:v>17871.67836658287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81-4C06-8970-5ABA8B0C483A}"/>
            </c:ext>
          </c:extLst>
        </c:ser>
        <c:ser>
          <c:idx val="3"/>
          <c:order val="3"/>
          <c:tx>
            <c:strRef>
              <c:f>'Types of vehicles'!$C$8:$H$8</c:f>
              <c:strCache>
                <c:ptCount val="6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'Types of vehicles'!$I$4:$R$4</c:f>
              <c:strCache>
                <c:ptCount val="10"/>
                <c:pt idx="0">
                  <c:v>2020
Fcst</c:v>
                </c:pt>
                <c:pt idx="1">
                  <c:v>2021
Fcst</c:v>
                </c:pt>
                <c:pt idx="2">
                  <c:v>2022
Fcst</c:v>
                </c:pt>
                <c:pt idx="3">
                  <c:v>2023
Fcst</c:v>
                </c:pt>
                <c:pt idx="4">
                  <c:v>2024
Fcst</c:v>
                </c:pt>
                <c:pt idx="5">
                  <c:v>2025
Fcst</c:v>
                </c:pt>
                <c:pt idx="6">
                  <c:v>2026
Fcst</c:v>
                </c:pt>
                <c:pt idx="7">
                  <c:v>2027
Fcst</c:v>
                </c:pt>
                <c:pt idx="8">
                  <c:v>2028
Fcst</c:v>
                </c:pt>
                <c:pt idx="9">
                  <c:v>2029
Fcst</c:v>
                </c:pt>
              </c:strCache>
            </c:strRef>
          </c:cat>
          <c:val>
            <c:numRef>
              <c:f>'Types of vehicles'!$I$8:$R$8</c:f>
              <c:numCache>
                <c:formatCode>_(* #,##0_);_(* \(#,##0\);_(* "-"??_);_(@_)</c:formatCode>
                <c:ptCount val="10"/>
                <c:pt idx="0">
                  <c:v>33883.553108619999</c:v>
                </c:pt>
                <c:pt idx="1">
                  <c:v>45867.036211716804</c:v>
                </c:pt>
                <c:pt idx="2">
                  <c:v>63702.852411189822</c:v>
                </c:pt>
                <c:pt idx="3">
                  <c:v>83153.75731249094</c:v>
                </c:pt>
                <c:pt idx="4">
                  <c:v>95455.729064474013</c:v>
                </c:pt>
                <c:pt idx="5">
                  <c:v>102245.44365321465</c:v>
                </c:pt>
                <c:pt idx="6">
                  <c:v>108879.18438402501</c:v>
                </c:pt>
                <c:pt idx="7">
                  <c:v>115602.36156379257</c:v>
                </c:pt>
                <c:pt idx="8">
                  <c:v>121093.30083140421</c:v>
                </c:pt>
                <c:pt idx="9">
                  <c:v>125937.03286466037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81-4C06-8970-5ABA8B0C4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675136"/>
        <c:axId val="1863189712"/>
      </c:areaChart>
      <c:catAx>
        <c:axId val="192567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189712"/>
        <c:crosses val="autoZero"/>
        <c:auto val="1"/>
        <c:lblAlgn val="ctr"/>
        <c:lblOffset val="100"/>
        <c:noMultiLvlLbl val="0"/>
      </c:catAx>
      <c:valAx>
        <c:axId val="18631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675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1" i="0" baseline="0">
                <a:effectLst/>
              </a:rPr>
              <a:t>Tesla: Cash flow bridge 2019-2020</a:t>
            </a:r>
            <a:endParaRPr lang="en-IN" sz="1400">
              <a:effectLst/>
            </a:endParaRPr>
          </a:p>
        </cx:rich>
      </cx:tx>
    </cx:title>
    <cx:plotArea>
      <cx:plotAreaRegion>
        <cx:series layoutId="waterfall" uniqueId="{8CED076B-4997-4290-BBBE-B7B969C3B46B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fmtOvrs>
    <cx:fmtOvr idx="2"/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1" i="0" baseline="0">
                <a:effectLst/>
              </a:rPr>
              <a:t>Tesla: Cash flow bridge 2028-2029</a:t>
            </a:r>
            <a:endParaRPr lang="en-IN" sz="1400">
              <a:effectLst/>
            </a:endParaRPr>
          </a:p>
        </cx:rich>
      </cx:tx>
    </cx:title>
    <cx:plotArea>
      <cx:plotAreaRegion>
        <cx:series layoutId="waterfall" uniqueId="{73B48A37-B2D7-42E3-B5B8-D37435863083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6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1" i="0" baseline="0">
                <a:effectLst/>
              </a:rPr>
              <a:t>Tesla Inc. - Net Income bridge FY1</a:t>
            </a:r>
            <a:r>
              <a:rPr lang="bg-BG" sz="1800" b="1" i="0" baseline="0">
                <a:effectLst/>
              </a:rPr>
              <a:t>8</a:t>
            </a:r>
            <a:r>
              <a:rPr lang="en-US" sz="1800" b="1" i="0" baseline="0">
                <a:effectLst/>
              </a:rPr>
              <a:t>-FY</a:t>
            </a:r>
            <a:r>
              <a:rPr lang="bg-BG" sz="1800" b="1" i="0" baseline="0">
                <a:effectLst/>
              </a:rPr>
              <a:t>20</a:t>
            </a:r>
            <a:endParaRPr lang="en-IN" sz="1400">
              <a:effectLst/>
            </a:endParaRPr>
          </a:p>
        </cx:rich>
      </cx:tx>
    </cx:title>
    <cx:plotArea>
      <cx:plotAreaRegion>
        <cx:series layoutId="waterfall" uniqueId="{00000000-9FCE-4BF1-8001-9BD02F5EAA96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7"/>
              <cx:idx val="1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243840</xdr:colOff>
      <xdr:row>0</xdr:row>
      <xdr:rowOff>121921</xdr:rowOff>
    </xdr:from>
    <xdr:to>
      <xdr:col>19</xdr:col>
      <xdr:colOff>533400</xdr:colOff>
      <xdr:row>19</xdr:row>
      <xdr:rowOff>155037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0A2A36-354B-ABC5-6C01-046280A5D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9720" y="121921"/>
          <a:ext cx="6537960" cy="442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22860</xdr:rowOff>
    </xdr:from>
    <xdr:to>
      <xdr:col>11</xdr:col>
      <xdr:colOff>562984</xdr:colOff>
      <xdr:row>13</xdr:row>
      <xdr:rowOff>91439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7ADF20-0611-4AA3-957F-628E6DA073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985260" y="22860"/>
          <a:ext cx="5096884" cy="2796539"/>
        </a:xfrm>
        <a:prstGeom prst="rect">
          <a:avLst/>
        </a:prstGeom>
      </xdr:spPr>
    </xdr:pic>
    <xdr:clientData/>
  </xdr:twoCellAnchor>
  <xdr:twoCellAnchor editAs="oneCell">
    <xdr:from>
      <xdr:col>11</xdr:col>
      <xdr:colOff>525780</xdr:colOff>
      <xdr:row>0</xdr:row>
      <xdr:rowOff>0</xdr:rowOff>
    </xdr:from>
    <xdr:to>
      <xdr:col>26</xdr:col>
      <xdr:colOff>366800</xdr:colOff>
      <xdr:row>27</xdr:row>
      <xdr:rowOff>32431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013FD5-EA9C-4F66-B583-70AF3C0E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44940" y="0"/>
          <a:ext cx="8985020" cy="5534071"/>
        </a:xfrm>
        <a:prstGeom prst="rect">
          <a:avLst/>
        </a:prstGeom>
      </xdr:spPr>
    </xdr:pic>
    <xdr:clientData/>
  </xdr:twoCellAnchor>
  <xdr:twoCellAnchor editAs="oneCell">
    <xdr:from>
      <xdr:col>3</xdr:col>
      <xdr:colOff>327660</xdr:colOff>
      <xdr:row>14</xdr:row>
      <xdr:rowOff>45720</xdr:rowOff>
    </xdr:from>
    <xdr:to>
      <xdr:col>11</xdr:col>
      <xdr:colOff>570156</xdr:colOff>
      <xdr:row>26</xdr:row>
      <xdr:rowOff>186018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AE7E92-CC92-4BC7-83E6-9134BC0D4B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80" t="33552" r="23876" b="9456"/>
        <a:stretch/>
      </xdr:blipFill>
      <xdr:spPr>
        <a:xfrm>
          <a:off x="3970020" y="2895600"/>
          <a:ext cx="5119296" cy="25177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83820</xdr:rowOff>
    </xdr:from>
    <xdr:to>
      <xdr:col>19</xdr:col>
      <xdr:colOff>441960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55857A-94D1-4F93-AB8E-7AC130C34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7</xdr:row>
      <xdr:rowOff>19050</xdr:rowOff>
    </xdr:from>
    <xdr:to>
      <xdr:col>16</xdr:col>
      <xdr:colOff>129540</xdr:colOff>
      <xdr:row>26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5E44FE-0918-F90D-0AE2-12714B6BD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1</xdr:row>
      <xdr:rowOff>160020</xdr:rowOff>
    </xdr:from>
    <xdr:to>
      <xdr:col>16</xdr:col>
      <xdr:colOff>175260</xdr:colOff>
      <xdr:row>17</xdr:row>
      <xdr:rowOff>91440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71AA277-C4B2-5609-0E99-A7F86AEF34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0880" y="426720"/>
              <a:ext cx="7002780" cy="3116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426720</xdr:colOff>
      <xdr:row>19</xdr:row>
      <xdr:rowOff>125730</xdr:rowOff>
    </xdr:from>
    <xdr:to>
      <xdr:col>16</xdr:col>
      <xdr:colOff>236220</xdr:colOff>
      <xdr:row>36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0AFA28C-7B10-55FB-5A86-A63415C660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69920" y="3973830"/>
              <a:ext cx="7124700" cy="3272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</xdr:row>
      <xdr:rowOff>49530</xdr:rowOff>
    </xdr:from>
    <xdr:to>
      <xdr:col>20</xdr:col>
      <xdr:colOff>76200</xdr:colOff>
      <xdr:row>23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EAA4C7C-01AC-EAC0-A57C-4281A3DBFE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9000" y="316230"/>
              <a:ext cx="10500360" cy="4370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152400</xdr:rowOff>
    </xdr:from>
    <xdr:to>
      <xdr:col>17</xdr:col>
      <xdr:colOff>495300</xdr:colOff>
      <xdr:row>34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5A413D-03A4-16BC-76F0-2C99D9320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198120</xdr:colOff>
      <xdr:row>9</xdr:row>
      <xdr:rowOff>11430</xdr:rowOff>
    </xdr:from>
    <xdr:to>
      <xdr:col>18</xdr:col>
      <xdr:colOff>30480</xdr:colOff>
      <xdr:row>24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D904B-2565-D3FE-BC97-6FC9F954B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umesh/Downloads/Tesla+valuation_complete.xlsx" TargetMode="External"/><Relationship Id="rId2" Type="http://schemas.openxmlformats.org/officeDocument/2006/relationships/externalLinkPath" Target="file:///C:\Users\umesh\Downloads\Tesla+valuation_complete.xlsx" TargetMode="External"/><Relationship Id="rId1" Type="http://schemas.openxmlformats.org/officeDocument/2006/relationships/externalLinkPath" Target="/Users/umesh/Downloads/Tesla+valuation_comple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Drivers"/>
      <sheetName val="Input --&gt;"/>
      <sheetName val="P&amp;L Input"/>
      <sheetName val="Balance Sheet Input"/>
      <sheetName val="Workings --&gt;"/>
      <sheetName val="Income Statement items"/>
      <sheetName val="Automotive"/>
      <sheetName val="Deliveries"/>
      <sheetName val="Deliveries development"/>
      <sheetName val="Deliveries comparables"/>
      <sheetName val="Average Prices"/>
      <sheetName val="Revenue automotive"/>
      <sheetName val="GP% automotive"/>
      <sheetName val="GP automotive"/>
      <sheetName val="Cost of sales automotive"/>
      <sheetName val="Revenue &amp; GP autom"/>
      <sheetName val="Energy &amp; Other"/>
      <sheetName val="Revenue Energy &amp; Other"/>
      <sheetName val="GP Energy &amp; Other"/>
      <sheetName val="Cost of sales Energy &amp; Other"/>
      <sheetName val="Operating expenses"/>
      <sheetName val="Opex comparables"/>
      <sheetName val="Balance Sheet --&gt;"/>
      <sheetName val="PP&amp;E --&gt;"/>
      <sheetName val="Opex"/>
      <sheetName val="PP&amp;E Comparables"/>
      <sheetName val="Working Capital --&gt; "/>
      <sheetName val="WC comparables"/>
      <sheetName val="Working capital"/>
      <sheetName val="WC development"/>
      <sheetName val="Financing --&gt;"/>
      <sheetName val="Financing"/>
      <sheetName val="Output --&gt;"/>
      <sheetName val="P&amp;L"/>
      <sheetName val="Balance Sheet"/>
      <sheetName val="Cash Flow"/>
      <sheetName val="PP&amp;E"/>
      <sheetName val="Revenue bridge"/>
      <sheetName val="DCF"/>
      <sheetName val="WACC"/>
      <sheetName val="Bridge charts --&gt;"/>
      <sheetName val="Cash flow bridge"/>
      <sheetName val="Expenses bridge"/>
      <sheetName val="Net Income bridge"/>
      <sheetName val="Other charts --&gt;"/>
      <sheetName val="Revenue by type of car"/>
      <sheetName val="Types of vehicles"/>
      <sheetName val="Profitability"/>
      <sheetName val="Price - Volume - Mix --&gt;"/>
      <sheetName val="Price-Volume-Mix"/>
    </sheetNames>
    <sheetDataSet>
      <sheetData sheetId="0"/>
      <sheetData sheetId="1">
        <row r="12">
          <cell r="C12">
            <v>0.21</v>
          </cell>
        </row>
      </sheetData>
      <sheetData sheetId="2"/>
      <sheetData sheetId="3">
        <row r="12">
          <cell r="C12">
            <v>-717900</v>
          </cell>
          <cell r="D12">
            <v>-834408</v>
          </cell>
          <cell r="E12">
            <v>-1378073</v>
          </cell>
          <cell r="F12">
            <v>-1460370</v>
          </cell>
          <cell r="G12">
            <v>-1343000</v>
          </cell>
        </row>
        <row r="13">
          <cell r="C13">
            <v>-922232</v>
          </cell>
          <cell r="D13">
            <v>-1432189</v>
          </cell>
          <cell r="E13">
            <v>-2476500</v>
          </cell>
          <cell r="F13">
            <v>-2834491</v>
          </cell>
          <cell r="G13">
            <v>-2646000</v>
          </cell>
        </row>
        <row r="14">
          <cell r="C14"/>
          <cell r="D14"/>
          <cell r="E14"/>
          <cell r="F14">
            <v>-135233</v>
          </cell>
          <cell r="G14">
            <v>-149000</v>
          </cell>
        </row>
        <row r="17">
          <cell r="B17" t="str">
            <v>Interest expense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1">
          <cell r="C11">
            <v>3740.973</v>
          </cell>
          <cell r="D11">
            <v>6350.7659999999996</v>
          </cell>
          <cell r="E11">
            <v>9641.3000000000011</v>
          </cell>
          <cell r="F11">
            <v>18514.983</v>
          </cell>
          <cell r="G11">
            <v>20821</v>
          </cell>
        </row>
      </sheetData>
      <sheetData sheetId="13"/>
      <sheetData sheetId="14"/>
      <sheetData sheetId="15"/>
      <sheetData sheetId="16"/>
      <sheetData sheetId="17"/>
      <sheetData sheetId="18">
        <row r="7">
          <cell r="C7">
            <v>305.05199999999996</v>
          </cell>
          <cell r="D7">
            <v>649.36599999999999</v>
          </cell>
          <cell r="E7">
            <v>2117.451</v>
          </cell>
          <cell r="F7">
            <v>2946.2849999999999</v>
          </cell>
          <cell r="G7">
            <v>3757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13">
          <cell r="C13" t="str">
            <v>2015
Act</v>
          </cell>
          <cell r="D13" t="str">
            <v>2016
Act</v>
          </cell>
          <cell r="E13" t="str">
            <v>2017
Act</v>
          </cell>
          <cell r="F13" t="str">
            <v>2018
Act</v>
          </cell>
          <cell r="G13" t="str">
            <v>2019
Act</v>
          </cell>
          <cell r="H13" t="str">
            <v>2020
Fcst</v>
          </cell>
          <cell r="I13" t="str">
            <v>2021
Fcst</v>
          </cell>
          <cell r="J13" t="str">
            <v>2022
Fcst</v>
          </cell>
          <cell r="K13" t="str">
            <v>2023
Fcst</v>
          </cell>
          <cell r="L13" t="str">
            <v>2024
Fcst</v>
          </cell>
          <cell r="M13" t="str">
            <v>2025
Fcst</v>
          </cell>
          <cell r="N13" t="str">
            <v>2026
Fcst</v>
          </cell>
          <cell r="O13" t="str">
            <v>2027
Fcst</v>
          </cell>
          <cell r="P13" t="str">
            <v>2028
Fcst</v>
          </cell>
          <cell r="Q13" t="str">
            <v>2029
Fcst</v>
          </cell>
        </row>
        <row r="14">
          <cell r="B14" t="str">
            <v>Car</v>
          </cell>
        </row>
        <row r="15">
          <cell r="B15" t="str">
            <v>Pickup</v>
          </cell>
        </row>
        <row r="16">
          <cell r="B16" t="str">
            <v>Truck</v>
          </cell>
        </row>
        <row r="17">
          <cell r="B17" t="str">
            <v>Total</v>
          </cell>
        </row>
      </sheetData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37A5-D20A-4AE9-9B4B-4831366A0B26}">
  <dimension ref="B9:C10"/>
  <sheetViews>
    <sheetView zoomScaleNormal="100" workbookViewId="0"/>
  </sheetViews>
  <sheetFormatPr defaultColWidth="9.109375" defaultRowHeight="14.4" x14ac:dyDescent="0.3"/>
  <cols>
    <col min="1" max="1" width="2" style="3" customWidth="1"/>
    <col min="2" max="16384" width="9.109375" style="3"/>
  </cols>
  <sheetData>
    <row r="9" spans="2:3" ht="50.4" x14ac:dyDescent="0.3">
      <c r="B9" s="1" t="s">
        <v>0</v>
      </c>
      <c r="C9" s="2"/>
    </row>
    <row r="10" spans="2:3" ht="50.4" x14ac:dyDescent="0.3">
      <c r="B10" s="1" t="s">
        <v>1</v>
      </c>
      <c r="C1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A226-E11E-4117-B78E-57930ADF38D4}">
  <dimension ref="B1:E13"/>
  <sheetViews>
    <sheetView workbookViewId="0"/>
  </sheetViews>
  <sheetFormatPr defaultRowHeight="15.6" x14ac:dyDescent="0.3"/>
  <cols>
    <col min="1" max="1" width="4.21875" style="5" customWidth="1"/>
    <col min="2" max="2" width="35.21875" style="5" bestFit="1" customWidth="1"/>
    <col min="3" max="3" width="15.44140625" style="5" bestFit="1" customWidth="1"/>
    <col min="4" max="16384" width="8.88671875" style="5"/>
  </cols>
  <sheetData>
    <row r="1" spans="2:5" ht="21" x14ac:dyDescent="0.3">
      <c r="B1" s="16" t="s">
        <v>15</v>
      </c>
    </row>
    <row r="3" spans="2:5" ht="16.2" x14ac:dyDescent="0.3">
      <c r="B3" s="12" t="s">
        <v>2</v>
      </c>
      <c r="C3" s="11">
        <v>1</v>
      </c>
    </row>
    <row r="4" spans="2:5" ht="16.2" x14ac:dyDescent="0.3">
      <c r="B4" s="13" t="s">
        <v>3</v>
      </c>
      <c r="C4" s="33" t="s">
        <v>0</v>
      </c>
    </row>
    <row r="5" spans="2:5" ht="16.2" x14ac:dyDescent="0.3">
      <c r="B5" s="13" t="s">
        <v>4</v>
      </c>
      <c r="C5" s="34" t="s">
        <v>5</v>
      </c>
    </row>
    <row r="6" spans="2:5" ht="16.2" x14ac:dyDescent="0.3">
      <c r="B6" s="13" t="s">
        <v>6</v>
      </c>
      <c r="C6" s="34" t="s">
        <v>7</v>
      </c>
    </row>
    <row r="7" spans="2:5" ht="16.2" x14ac:dyDescent="0.3">
      <c r="B7" s="13" t="s">
        <v>8</v>
      </c>
      <c r="C7" s="35">
        <v>6.9699999999999996E-3</v>
      </c>
    </row>
    <row r="8" spans="2:5" ht="16.2" x14ac:dyDescent="0.3">
      <c r="B8" s="13" t="s">
        <v>9</v>
      </c>
      <c r="C8" s="36">
        <v>0.05</v>
      </c>
    </row>
    <row r="9" spans="2:5" ht="16.2" x14ac:dyDescent="0.3">
      <c r="B9" s="13" t="s">
        <v>10</v>
      </c>
      <c r="C9" s="37">
        <v>2.15</v>
      </c>
      <c r="E9" s="17"/>
    </row>
    <row r="10" spans="2:5" ht="16.2" x14ac:dyDescent="0.3">
      <c r="B10" s="13" t="s">
        <v>11</v>
      </c>
      <c r="C10" s="37">
        <v>639.83000000000004</v>
      </c>
    </row>
    <row r="11" spans="2:5" ht="16.2" x14ac:dyDescent="0.35">
      <c r="B11" s="14" t="s">
        <v>12</v>
      </c>
      <c r="C11" s="38">
        <v>4.3240000000000001E-2</v>
      </c>
    </row>
    <row r="12" spans="2:5" ht="16.2" x14ac:dyDescent="0.3">
      <c r="B12" s="13" t="s">
        <v>13</v>
      </c>
      <c r="C12" s="36">
        <v>0.21</v>
      </c>
    </row>
    <row r="13" spans="2:5" ht="16.2" x14ac:dyDescent="0.3">
      <c r="B13" s="15" t="s">
        <v>14</v>
      </c>
      <c r="C13" s="39">
        <v>0.02</v>
      </c>
    </row>
  </sheetData>
  <dataValidations count="1">
    <dataValidation type="list" allowBlank="1" showInputMessage="1" showErrorMessage="1" sqref="C3" xr:uid="{F0D8D135-1FCE-43F2-8B63-6DD523849D95}">
      <formula1>"1,2,3"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D8C4-10C6-4F9E-8EE7-82574DBD841D}">
  <sheetPr>
    <tabColor rgb="FF002060"/>
  </sheetPr>
  <dimension ref="B13"/>
  <sheetViews>
    <sheetView showGridLines="0" workbookViewId="0"/>
  </sheetViews>
  <sheetFormatPr defaultRowHeight="15.6" x14ac:dyDescent="0.3"/>
  <cols>
    <col min="1" max="16384" width="8.88671875" style="42"/>
  </cols>
  <sheetData>
    <row r="13" spans="2:2" ht="61.8" x14ac:dyDescent="1.1499999999999999">
      <c r="B13" s="41" t="s">
        <v>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F694-E546-4A55-8FD5-440DF7018B72}">
  <dimension ref="B1:G48"/>
  <sheetViews>
    <sheetView tabSelected="1" zoomScaleNormal="100" workbookViewId="0"/>
  </sheetViews>
  <sheetFormatPr defaultRowHeight="15.6" x14ac:dyDescent="0.3"/>
  <cols>
    <col min="1" max="1" width="4.44140625" style="5" customWidth="1"/>
    <col min="2" max="2" width="36" style="5" bestFit="1" customWidth="1"/>
    <col min="3" max="4" width="12.44140625" style="5" bestFit="1" customWidth="1"/>
    <col min="5" max="7" width="14.44140625" style="5" bestFit="1" customWidth="1"/>
    <col min="8" max="16384" width="8.88671875" style="5"/>
  </cols>
  <sheetData>
    <row r="1" spans="2:7" ht="21" x14ac:dyDescent="0.3">
      <c r="B1" s="16" t="s">
        <v>42</v>
      </c>
    </row>
    <row r="3" spans="2:7" ht="32.4" x14ac:dyDescent="0.35">
      <c r="B3" s="30" t="s">
        <v>16</v>
      </c>
      <c r="C3" s="31" t="s">
        <v>17</v>
      </c>
      <c r="D3" s="31" t="s">
        <v>18</v>
      </c>
      <c r="E3" s="31" t="s">
        <v>19</v>
      </c>
      <c r="F3" s="31" t="s">
        <v>20</v>
      </c>
      <c r="G3" s="31" t="s">
        <v>21</v>
      </c>
    </row>
    <row r="4" spans="2:7" x14ac:dyDescent="0.3">
      <c r="B4" s="6" t="s">
        <v>22</v>
      </c>
      <c r="C4" s="20">
        <v>3740973</v>
      </c>
      <c r="D4" s="20">
        <v>6350766</v>
      </c>
      <c r="E4" s="20">
        <v>9641300</v>
      </c>
      <c r="F4" s="20">
        <v>18514983</v>
      </c>
      <c r="G4" s="20">
        <v>20821000</v>
      </c>
    </row>
    <row r="5" spans="2:7" x14ac:dyDescent="0.3">
      <c r="B5" s="6" t="s">
        <v>23</v>
      </c>
      <c r="C5" s="20">
        <v>14477</v>
      </c>
      <c r="D5" s="20">
        <v>181394</v>
      </c>
      <c r="E5" s="20">
        <v>1116266</v>
      </c>
      <c r="F5" s="20">
        <v>1555244</v>
      </c>
      <c r="G5" s="20">
        <v>1531000</v>
      </c>
    </row>
    <row r="6" spans="2:7" x14ac:dyDescent="0.3">
      <c r="B6" s="6" t="s">
        <v>24</v>
      </c>
      <c r="C6" s="20">
        <v>290575</v>
      </c>
      <c r="D6" s="20">
        <v>467972</v>
      </c>
      <c r="E6" s="20">
        <v>1001185</v>
      </c>
      <c r="F6" s="20">
        <v>1391041</v>
      </c>
      <c r="G6" s="20">
        <v>2226000</v>
      </c>
    </row>
    <row r="7" spans="2:7" ht="16.2" x14ac:dyDescent="0.3">
      <c r="B7" s="21" t="s">
        <v>25</v>
      </c>
      <c r="C7" s="22">
        <f>SUM(C4:C6)</f>
        <v>4046025</v>
      </c>
      <c r="D7" s="22">
        <f t="shared" ref="D7:G7" si="0">SUM(D4:D6)</f>
        <v>7000132</v>
      </c>
      <c r="E7" s="22">
        <f t="shared" si="0"/>
        <v>11758751</v>
      </c>
      <c r="F7" s="22">
        <f t="shared" si="0"/>
        <v>21461268</v>
      </c>
      <c r="G7" s="22">
        <f t="shared" si="0"/>
        <v>24578000</v>
      </c>
    </row>
    <row r="8" spans="2:7" x14ac:dyDescent="0.3">
      <c r="B8" s="6" t="s">
        <v>26</v>
      </c>
      <c r="C8" s="20">
        <v>-2823302</v>
      </c>
      <c r="D8" s="20">
        <v>-4750081</v>
      </c>
      <c r="E8" s="20">
        <v>-7432704</v>
      </c>
      <c r="F8" s="20">
        <v>-14173997</v>
      </c>
      <c r="G8" s="20">
        <v>-16398000</v>
      </c>
    </row>
    <row r="9" spans="2:7" x14ac:dyDescent="0.3">
      <c r="B9" s="6" t="s">
        <v>27</v>
      </c>
      <c r="C9" s="20">
        <v>-12287</v>
      </c>
      <c r="D9" s="20">
        <v>-178332</v>
      </c>
      <c r="E9" s="20">
        <v>-874538</v>
      </c>
      <c r="F9" s="20">
        <v>-1364896</v>
      </c>
      <c r="G9" s="20">
        <v>-1341000</v>
      </c>
    </row>
    <row r="10" spans="2:7" x14ac:dyDescent="0.3">
      <c r="B10" s="6" t="s">
        <v>28</v>
      </c>
      <c r="C10" s="20">
        <v>-286933</v>
      </c>
      <c r="D10" s="20">
        <v>-472462</v>
      </c>
      <c r="E10" s="20">
        <v>-1229022</v>
      </c>
      <c r="F10" s="20">
        <v>-1880354</v>
      </c>
      <c r="G10" s="20">
        <v>-2770000</v>
      </c>
    </row>
    <row r="11" spans="2:7" ht="16.2" x14ac:dyDescent="0.3">
      <c r="B11" s="21" t="s">
        <v>29</v>
      </c>
      <c r="C11" s="22">
        <f>SUM(C7:C10)</f>
        <v>923503</v>
      </c>
      <c r="D11" s="22">
        <f t="shared" ref="D11:G11" si="1">SUM(D7:D10)</f>
        <v>1599257</v>
      </c>
      <c r="E11" s="22">
        <f t="shared" si="1"/>
        <v>2222487</v>
      </c>
      <c r="F11" s="22">
        <f t="shared" si="1"/>
        <v>4042021</v>
      </c>
      <c r="G11" s="22">
        <f t="shared" si="1"/>
        <v>4069000</v>
      </c>
    </row>
    <row r="12" spans="2:7" x14ac:dyDescent="0.3">
      <c r="B12" s="6" t="s">
        <v>30</v>
      </c>
      <c r="C12" s="20">
        <v>-717900</v>
      </c>
      <c r="D12" s="20">
        <v>-834408</v>
      </c>
      <c r="E12" s="20">
        <v>-1378073</v>
      </c>
      <c r="F12" s="20">
        <v>-1460370</v>
      </c>
      <c r="G12" s="20">
        <v>-1343000</v>
      </c>
    </row>
    <row r="13" spans="2:7" x14ac:dyDescent="0.3">
      <c r="B13" s="6" t="s">
        <v>31</v>
      </c>
      <c r="C13" s="20">
        <v>-922232</v>
      </c>
      <c r="D13" s="20">
        <v>-1432189</v>
      </c>
      <c r="E13" s="20">
        <v>-2476500</v>
      </c>
      <c r="F13" s="20">
        <v>-2834491</v>
      </c>
      <c r="G13" s="20">
        <v>-2646000</v>
      </c>
    </row>
    <row r="14" spans="2:7" x14ac:dyDescent="0.3">
      <c r="B14" s="6" t="s">
        <v>32</v>
      </c>
      <c r="C14" s="20"/>
      <c r="D14" s="20"/>
      <c r="E14" s="20"/>
      <c r="F14" s="20">
        <v>-135233</v>
      </c>
      <c r="G14" s="20">
        <v>-149000</v>
      </c>
    </row>
    <row r="15" spans="2:7" ht="16.2" x14ac:dyDescent="0.3">
      <c r="B15" s="21" t="s">
        <v>33</v>
      </c>
      <c r="C15" s="22">
        <f>SUM(C11:C14)</f>
        <v>-716629</v>
      </c>
      <c r="D15" s="22">
        <f t="shared" ref="D15:G15" si="2">SUM(D11:D14)</f>
        <v>-667340</v>
      </c>
      <c r="E15" s="22">
        <f t="shared" si="2"/>
        <v>-1632086</v>
      </c>
      <c r="F15" s="22">
        <f t="shared" si="2"/>
        <v>-388073</v>
      </c>
      <c r="G15" s="22">
        <f t="shared" si="2"/>
        <v>-69000</v>
      </c>
    </row>
    <row r="16" spans="2:7" x14ac:dyDescent="0.3">
      <c r="B16" s="6" t="s">
        <v>34</v>
      </c>
      <c r="C16" s="20">
        <v>1508</v>
      </c>
      <c r="D16" s="20">
        <v>8530</v>
      </c>
      <c r="E16" s="20">
        <v>19686</v>
      </c>
      <c r="F16" s="20">
        <v>24533</v>
      </c>
      <c r="G16" s="20">
        <v>44000</v>
      </c>
    </row>
    <row r="17" spans="2:7" x14ac:dyDescent="0.3">
      <c r="B17" s="6" t="s">
        <v>35</v>
      </c>
      <c r="C17" s="20">
        <v>-118851</v>
      </c>
      <c r="D17" s="20">
        <v>-198810</v>
      </c>
      <c r="E17" s="20">
        <v>-471259</v>
      </c>
      <c r="F17" s="20">
        <v>-663071</v>
      </c>
      <c r="G17" s="20">
        <v>-685000</v>
      </c>
    </row>
    <row r="18" spans="2:7" x14ac:dyDescent="0.3">
      <c r="B18" s="6" t="s">
        <v>36</v>
      </c>
      <c r="C18" s="20">
        <v>-41652</v>
      </c>
      <c r="D18" s="20">
        <v>111272</v>
      </c>
      <c r="E18" s="20">
        <v>-125373</v>
      </c>
      <c r="F18" s="20">
        <v>21866</v>
      </c>
      <c r="G18" s="20">
        <v>45000</v>
      </c>
    </row>
    <row r="19" spans="2:7" ht="16.2" x14ac:dyDescent="0.3">
      <c r="B19" s="21" t="s">
        <v>37</v>
      </c>
      <c r="C19" s="22">
        <f>SUM(C15:C18)</f>
        <v>-875624</v>
      </c>
      <c r="D19" s="22">
        <f t="shared" ref="D19:G19" si="3">SUM(D15:D18)</f>
        <v>-746348</v>
      </c>
      <c r="E19" s="22">
        <f t="shared" si="3"/>
        <v>-2209032</v>
      </c>
      <c r="F19" s="22">
        <f t="shared" si="3"/>
        <v>-1004745</v>
      </c>
      <c r="G19" s="22">
        <f t="shared" si="3"/>
        <v>-665000</v>
      </c>
    </row>
    <row r="20" spans="2:7" x14ac:dyDescent="0.3">
      <c r="B20" s="6" t="s">
        <v>38</v>
      </c>
      <c r="C20" s="20">
        <v>-13039</v>
      </c>
      <c r="D20" s="20">
        <v>-26698</v>
      </c>
      <c r="E20" s="20">
        <v>-31546</v>
      </c>
      <c r="F20" s="20">
        <v>-57837</v>
      </c>
      <c r="G20" s="20">
        <v>-110000</v>
      </c>
    </row>
    <row r="21" spans="2:7" ht="16.2" x14ac:dyDescent="0.3">
      <c r="B21" s="21" t="s">
        <v>39</v>
      </c>
      <c r="C21" s="22">
        <f>SUM(C19:C20)</f>
        <v>-888663</v>
      </c>
      <c r="D21" s="22">
        <f t="shared" ref="D21:G21" si="4">SUM(D19:D20)</f>
        <v>-773046</v>
      </c>
      <c r="E21" s="22">
        <f t="shared" si="4"/>
        <v>-2240578</v>
      </c>
      <c r="F21" s="22">
        <f t="shared" si="4"/>
        <v>-1062582</v>
      </c>
      <c r="G21" s="22">
        <f t="shared" si="4"/>
        <v>-775000</v>
      </c>
    </row>
    <row r="22" spans="2:7" x14ac:dyDescent="0.3">
      <c r="B22" s="6" t="s">
        <v>40</v>
      </c>
      <c r="C22" s="20">
        <v>0</v>
      </c>
      <c r="D22" s="20">
        <v>98132</v>
      </c>
      <c r="E22" s="20">
        <v>279178</v>
      </c>
      <c r="F22" s="20">
        <v>86491</v>
      </c>
      <c r="G22" s="20">
        <v>-87000</v>
      </c>
    </row>
    <row r="23" spans="2:7" ht="16.8" thickBot="1" x14ac:dyDescent="0.35">
      <c r="B23" s="23" t="s">
        <v>41</v>
      </c>
      <c r="C23" s="24">
        <f>SUM(C21:C22)</f>
        <v>-888663</v>
      </c>
      <c r="D23" s="24">
        <f t="shared" ref="D23:G23" si="5">SUM(D21:D22)</f>
        <v>-674914</v>
      </c>
      <c r="E23" s="24">
        <f t="shared" si="5"/>
        <v>-1961400</v>
      </c>
      <c r="F23" s="24">
        <f t="shared" si="5"/>
        <v>-976091</v>
      </c>
      <c r="G23" s="24">
        <f t="shared" si="5"/>
        <v>-862000</v>
      </c>
    </row>
    <row r="25" spans="2:7" ht="16.2" x14ac:dyDescent="0.35">
      <c r="B25" s="32" t="s">
        <v>43</v>
      </c>
    </row>
    <row r="26" spans="2:7" x14ac:dyDescent="0.3">
      <c r="B26" s="26" t="s">
        <v>44</v>
      </c>
      <c r="C26" s="27"/>
      <c r="D26" s="27">
        <f>D4/C4-1</f>
        <v>0.69762412078355007</v>
      </c>
      <c r="E26" s="27">
        <f t="shared" ref="E26:G26" si="6">E4/D4-1</f>
        <v>0.51813182850698647</v>
      </c>
      <c r="F26" s="27">
        <f t="shared" si="6"/>
        <v>0.92038241730886905</v>
      </c>
      <c r="G26" s="27">
        <f t="shared" si="6"/>
        <v>0.12454869658805512</v>
      </c>
    </row>
    <row r="27" spans="2:7" x14ac:dyDescent="0.3">
      <c r="B27" s="26" t="s">
        <v>45</v>
      </c>
      <c r="C27" s="27"/>
      <c r="D27" s="27">
        <f>D5/C5-1</f>
        <v>11.529805899012226</v>
      </c>
      <c r="E27" s="27">
        <f t="shared" ref="E27:G27" si="7">E5/D5-1</f>
        <v>5.1538198617374338</v>
      </c>
      <c r="F27" s="27">
        <f t="shared" si="7"/>
        <v>0.39325572936916475</v>
      </c>
      <c r="G27" s="27">
        <f t="shared" si="7"/>
        <v>-1.5588550735447293E-2</v>
      </c>
    </row>
    <row r="28" spans="2:7" x14ac:dyDescent="0.3">
      <c r="B28" s="26" t="s">
        <v>46</v>
      </c>
      <c r="C28" s="27"/>
      <c r="D28" s="27">
        <f>D6/C6-1</f>
        <v>0.61050331239783184</v>
      </c>
      <c r="E28" s="27">
        <f t="shared" ref="E28:G28" si="8">E6/D6-1</f>
        <v>1.1394121870539262</v>
      </c>
      <c r="F28" s="27">
        <f t="shared" si="8"/>
        <v>0.38939456743758649</v>
      </c>
      <c r="G28" s="27">
        <f t="shared" si="8"/>
        <v>0.60024039550236119</v>
      </c>
    </row>
    <row r="29" spans="2:7" x14ac:dyDescent="0.3">
      <c r="B29" s="26" t="s">
        <v>47</v>
      </c>
      <c r="C29" s="27">
        <f>(C4+C8)/C4</f>
        <v>0.24530275946926108</v>
      </c>
      <c r="D29" s="27">
        <f t="shared" ref="D29:G29" si="9">(D4+D8)/D4</f>
        <v>0.2520459736667986</v>
      </c>
      <c r="E29" s="27">
        <f t="shared" si="9"/>
        <v>0.2290765768101812</v>
      </c>
      <c r="F29" s="27">
        <f t="shared" si="9"/>
        <v>0.23445800625363794</v>
      </c>
      <c r="G29" s="27">
        <f t="shared" si="9"/>
        <v>0.21242975841698286</v>
      </c>
    </row>
    <row r="30" spans="2:7" x14ac:dyDescent="0.3">
      <c r="B30" s="26" t="s">
        <v>48</v>
      </c>
      <c r="C30" s="27">
        <f>(C5+C9)/C5</f>
        <v>0.15127443531118326</v>
      </c>
      <c r="D30" s="27">
        <f t="shared" ref="D30:G30" si="10">(D5+D9)/D5</f>
        <v>1.688038193104513E-2</v>
      </c>
      <c r="E30" s="27">
        <f t="shared" si="10"/>
        <v>0.21655053544585251</v>
      </c>
      <c r="F30" s="27">
        <f t="shared" si="10"/>
        <v>0.12239108461437562</v>
      </c>
      <c r="G30" s="27">
        <f t="shared" si="10"/>
        <v>0.12410189418680601</v>
      </c>
    </row>
    <row r="31" spans="2:7" x14ac:dyDescent="0.3">
      <c r="B31" s="26" t="s">
        <v>49</v>
      </c>
      <c r="C31" s="27">
        <f>(C6+C10)/C6</f>
        <v>1.2533769250623763E-2</v>
      </c>
      <c r="D31" s="27">
        <f t="shared" ref="D31:G31" si="11">(D6+D10)/D6</f>
        <v>-9.5945911293838088E-3</v>
      </c>
      <c r="E31" s="27">
        <f t="shared" si="11"/>
        <v>-0.22756733271073779</v>
      </c>
      <c r="F31" s="27">
        <f t="shared" si="11"/>
        <v>-0.35176030037935618</v>
      </c>
      <c r="G31" s="27">
        <f t="shared" si="11"/>
        <v>-0.24438454627133874</v>
      </c>
    </row>
    <row r="32" spans="2:7" x14ac:dyDescent="0.3">
      <c r="B32" s="26" t="s">
        <v>50</v>
      </c>
      <c r="C32" s="27" cm="1">
        <f t="array" ref="C32">SUM((C4:C6)+SUM(C8:C10))/SUM(C4:C6)</f>
        <v>-1.3152516358648303</v>
      </c>
      <c r="D32" s="27" cm="1">
        <f t="array" ref="D32">SUM((D4:D6)+SUM(D8:D10))/SUM(D4:D6)</f>
        <v>-1.314617067221018</v>
      </c>
      <c r="E32" s="27" cm="1">
        <f t="array" ref="E32">SUM((E4:E6)+SUM(E8:E10))/SUM(E4:E6)</f>
        <v>-1.4329788087187152</v>
      </c>
      <c r="F32" s="27" cm="1">
        <f t="array" ref="F32">SUM((F4:F6)+SUM(F8:F10))/SUM(F4:F6)</f>
        <v>-1.4349791913506695</v>
      </c>
      <c r="G32" s="27" cm="1">
        <f t="array" ref="G32">SUM((G4:G6)+SUM(G8:G10))/SUM(G4:G6)</f>
        <v>-1.5033363170314915</v>
      </c>
    </row>
    <row r="33" spans="2:7" x14ac:dyDescent="0.3">
      <c r="B33" s="26" t="s">
        <v>51</v>
      </c>
      <c r="C33" s="27">
        <f>C15/C7</f>
        <v>-0.17711927138364197</v>
      </c>
      <c r="D33" s="27">
        <f t="shared" ref="D33:G33" si="12">D15/D7</f>
        <v>-9.533248801594027E-2</v>
      </c>
      <c r="E33" s="27">
        <f t="shared" si="12"/>
        <v>-0.13879756446921956</v>
      </c>
      <c r="F33" s="27">
        <f t="shared" si="12"/>
        <v>-1.8082482358451512E-2</v>
      </c>
      <c r="G33" s="27">
        <f t="shared" si="12"/>
        <v>-2.8073887216209618E-3</v>
      </c>
    </row>
    <row r="34" spans="2:7" x14ac:dyDescent="0.3">
      <c r="B34" s="26" t="s">
        <v>52</v>
      </c>
      <c r="C34" s="27">
        <f>C23/C7</f>
        <v>-0.21963853411681836</v>
      </c>
      <c r="D34" s="27">
        <f t="shared" ref="D34:G34" si="13">D23/D7</f>
        <v>-9.6414467612896446E-2</v>
      </c>
      <c r="E34" s="27">
        <f t="shared" si="13"/>
        <v>-0.16680343005817538</v>
      </c>
      <c r="F34" s="27">
        <f t="shared" si="13"/>
        <v>-4.5481515817238756E-2</v>
      </c>
      <c r="G34" s="27">
        <f t="shared" si="13"/>
        <v>-3.5072015623728539E-2</v>
      </c>
    </row>
    <row r="35" spans="2:7" x14ac:dyDescent="0.3">
      <c r="B35" s="26" t="s">
        <v>53</v>
      </c>
      <c r="C35" s="27"/>
      <c r="D35" s="27"/>
      <c r="E35" s="27"/>
      <c r="F35" s="27"/>
      <c r="G35" s="27"/>
    </row>
    <row r="36" spans="2:7" x14ac:dyDescent="0.3">
      <c r="B36" s="26" t="s">
        <v>54</v>
      </c>
      <c r="C36" s="27"/>
      <c r="D36" s="27"/>
      <c r="E36" s="27"/>
      <c r="F36" s="27"/>
      <c r="G36" s="27"/>
    </row>
    <row r="38" spans="2:7" ht="16.2" x14ac:dyDescent="0.35">
      <c r="B38" s="28"/>
      <c r="C38" s="27"/>
      <c r="D38" s="27"/>
      <c r="E38" s="27"/>
      <c r="F38" s="27"/>
      <c r="G38" s="27"/>
    </row>
    <row r="39" spans="2:7" ht="16.2" x14ac:dyDescent="0.35">
      <c r="B39" s="28"/>
      <c r="C39" s="27"/>
      <c r="D39" s="27"/>
      <c r="E39" s="27"/>
      <c r="F39" s="27"/>
      <c r="G39" s="27"/>
    </row>
    <row r="40" spans="2:7" x14ac:dyDescent="0.3">
      <c r="B40" s="27"/>
      <c r="C40" s="27"/>
      <c r="D40" s="27"/>
      <c r="E40" s="27"/>
      <c r="F40" s="27"/>
      <c r="G40" s="27"/>
    </row>
    <row r="41" spans="2:7" x14ac:dyDescent="0.3">
      <c r="B41" s="27"/>
      <c r="C41" s="27"/>
      <c r="D41" s="27"/>
      <c r="E41" s="27"/>
      <c r="F41" s="27"/>
      <c r="G41" s="27"/>
    </row>
    <row r="42" spans="2:7" x14ac:dyDescent="0.3">
      <c r="B42" s="27"/>
      <c r="C42" s="27"/>
      <c r="D42" s="27"/>
      <c r="E42" s="27"/>
      <c r="F42" s="27"/>
      <c r="G42" s="27"/>
    </row>
    <row r="43" spans="2:7" x14ac:dyDescent="0.3">
      <c r="B43" s="27"/>
      <c r="C43" s="27"/>
      <c r="D43" s="27"/>
      <c r="E43" s="27"/>
      <c r="F43" s="27"/>
      <c r="G43" s="27"/>
    </row>
    <row r="44" spans="2:7" x14ac:dyDescent="0.3">
      <c r="B44" s="27"/>
      <c r="C44" s="27"/>
      <c r="D44" s="27"/>
      <c r="E44" s="27"/>
      <c r="F44" s="27"/>
      <c r="G44" s="27"/>
    </row>
    <row r="45" spans="2:7" x14ac:dyDescent="0.3">
      <c r="B45" s="27"/>
      <c r="C45" s="27"/>
      <c r="D45" s="27"/>
      <c r="E45" s="27"/>
      <c r="F45" s="27"/>
      <c r="G45" s="27"/>
    </row>
    <row r="46" spans="2:7" ht="16.2" x14ac:dyDescent="0.35">
      <c r="B46" s="28"/>
      <c r="C46" s="27"/>
      <c r="D46" s="27"/>
      <c r="E46" s="27"/>
      <c r="F46" s="27"/>
      <c r="G46" s="27"/>
    </row>
    <row r="47" spans="2:7" x14ac:dyDescent="0.3">
      <c r="B47" s="27"/>
      <c r="C47" s="27"/>
      <c r="D47" s="27"/>
      <c r="E47" s="27"/>
      <c r="F47" s="27"/>
      <c r="G47" s="27"/>
    </row>
    <row r="48" spans="2:7" x14ac:dyDescent="0.3">
      <c r="B48" s="27"/>
      <c r="C48" s="29"/>
      <c r="D48" s="29"/>
      <c r="E48" s="29"/>
      <c r="F48" s="29"/>
      <c r="G48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7491-EB1B-485B-8FEC-BE8D703861A9}">
  <dimension ref="B1:H46"/>
  <sheetViews>
    <sheetView workbookViewId="0"/>
  </sheetViews>
  <sheetFormatPr defaultColWidth="9.109375" defaultRowHeight="15.6" x14ac:dyDescent="0.3"/>
  <cols>
    <col min="1" max="1" width="2" style="6" customWidth="1"/>
    <col min="2" max="2" width="51" style="6" bestFit="1" customWidth="1"/>
    <col min="3" max="3" width="13" style="6" bestFit="1" customWidth="1"/>
    <col min="4" max="7" width="14.44140625" style="6" bestFit="1" customWidth="1"/>
    <col min="8" max="8" width="9.109375" style="6"/>
    <col min="9" max="10" width="10.33203125" style="6" bestFit="1" customWidth="1"/>
    <col min="11" max="16384" width="9.109375" style="6"/>
  </cols>
  <sheetData>
    <row r="1" spans="2:8" ht="21" x14ac:dyDescent="0.3">
      <c r="B1" s="16" t="s">
        <v>66</v>
      </c>
    </row>
    <row r="3" spans="2:8" ht="32.4" x14ac:dyDescent="0.35">
      <c r="B3" s="30" t="s">
        <v>16</v>
      </c>
      <c r="C3" s="50" t="s">
        <v>67</v>
      </c>
      <c r="D3" s="50" t="s">
        <v>68</v>
      </c>
      <c r="E3" s="50" t="s">
        <v>69</v>
      </c>
      <c r="F3" s="50" t="s">
        <v>70</v>
      </c>
      <c r="G3" s="50" t="s">
        <v>71</v>
      </c>
    </row>
    <row r="4" spans="2:8" x14ac:dyDescent="0.3">
      <c r="B4" s="6" t="s">
        <v>72</v>
      </c>
      <c r="C4" s="45">
        <v>1196908</v>
      </c>
      <c r="D4" s="45">
        <v>3393216</v>
      </c>
      <c r="E4" s="45">
        <v>3367914</v>
      </c>
      <c r="F4" s="45">
        <v>3685618</v>
      </c>
      <c r="G4" s="45">
        <v>6268000</v>
      </c>
      <c r="H4" s="51"/>
    </row>
    <row r="5" spans="2:8" x14ac:dyDescent="0.3">
      <c r="B5" s="6" t="s">
        <v>73</v>
      </c>
      <c r="C5" s="45">
        <v>22628</v>
      </c>
      <c r="D5" s="45">
        <v>105519</v>
      </c>
      <c r="E5" s="45">
        <v>155323</v>
      </c>
      <c r="F5" s="45">
        <v>192551</v>
      </c>
      <c r="G5" s="45">
        <v>246000</v>
      </c>
      <c r="H5" s="51"/>
    </row>
    <row r="6" spans="2:8" x14ac:dyDescent="0.3">
      <c r="B6" s="6" t="s">
        <v>74</v>
      </c>
      <c r="C6" s="45">
        <v>168965</v>
      </c>
      <c r="D6" s="45">
        <v>499142</v>
      </c>
      <c r="E6" s="45">
        <v>515381</v>
      </c>
      <c r="F6" s="45">
        <v>949022</v>
      </c>
      <c r="G6" s="45">
        <v>1324000</v>
      </c>
      <c r="H6" s="51"/>
    </row>
    <row r="7" spans="2:8" x14ac:dyDescent="0.3">
      <c r="B7" s="6" t="s">
        <v>75</v>
      </c>
      <c r="C7" s="45">
        <v>1277838</v>
      </c>
      <c r="D7" s="45">
        <v>2067454</v>
      </c>
      <c r="E7" s="45">
        <v>2263537</v>
      </c>
      <c r="F7" s="45">
        <v>3113446</v>
      </c>
      <c r="G7" s="45">
        <v>3552000</v>
      </c>
      <c r="H7" s="51"/>
    </row>
    <row r="8" spans="2:8" x14ac:dyDescent="0.3">
      <c r="B8" s="6" t="s">
        <v>76</v>
      </c>
      <c r="C8" s="45">
        <v>115667</v>
      </c>
      <c r="D8" s="45">
        <v>194465</v>
      </c>
      <c r="E8" s="45">
        <v>268365</v>
      </c>
      <c r="F8" s="45">
        <v>365671</v>
      </c>
      <c r="G8" s="45">
        <v>713000</v>
      </c>
      <c r="H8" s="51"/>
    </row>
    <row r="9" spans="2:8" ht="16.2" x14ac:dyDescent="0.3">
      <c r="B9" s="21" t="s">
        <v>77</v>
      </c>
      <c r="C9" s="46">
        <f>SUM(C4:C8)</f>
        <v>2782006</v>
      </c>
      <c r="D9" s="46">
        <f>SUM(D4:D8)</f>
        <v>6259796</v>
      </c>
      <c r="E9" s="46">
        <f>SUM(E4:E8)</f>
        <v>6570520</v>
      </c>
      <c r="F9" s="46">
        <f>SUM(F4:F8)</f>
        <v>8306308</v>
      </c>
      <c r="G9" s="46">
        <f>SUM(G4:G8)</f>
        <v>12103000</v>
      </c>
      <c r="H9" s="51"/>
    </row>
    <row r="10" spans="2:8" x14ac:dyDescent="0.3">
      <c r="B10" s="6" t="s">
        <v>78</v>
      </c>
      <c r="C10" s="45">
        <v>1791403</v>
      </c>
      <c r="D10" s="45">
        <v>3134080</v>
      </c>
      <c r="E10" s="45">
        <v>4116604</v>
      </c>
      <c r="F10" s="45">
        <v>2089758</v>
      </c>
      <c r="G10" s="45">
        <v>2447000</v>
      </c>
      <c r="H10" s="51"/>
    </row>
    <row r="11" spans="2:8" x14ac:dyDescent="0.3">
      <c r="B11" s="6" t="s">
        <v>79</v>
      </c>
      <c r="C11" s="45">
        <v>0</v>
      </c>
      <c r="D11" s="45">
        <v>5919880</v>
      </c>
      <c r="E11" s="45">
        <v>6347490</v>
      </c>
      <c r="F11" s="45">
        <v>6271396</v>
      </c>
      <c r="G11" s="45">
        <v>6138000</v>
      </c>
      <c r="H11" s="51"/>
    </row>
    <row r="12" spans="2:8" x14ac:dyDescent="0.3">
      <c r="B12" s="6" t="s">
        <v>80</v>
      </c>
      <c r="C12" s="45">
        <v>3403334</v>
      </c>
      <c r="D12" s="45">
        <v>5982957</v>
      </c>
      <c r="E12" s="45">
        <v>10027522</v>
      </c>
      <c r="F12" s="45">
        <v>11330077</v>
      </c>
      <c r="G12" s="45">
        <v>10396000</v>
      </c>
      <c r="H12" s="51"/>
    </row>
    <row r="13" spans="2:8" x14ac:dyDescent="0.3">
      <c r="B13" s="6" t="s">
        <v>81</v>
      </c>
      <c r="C13" s="45">
        <v>0</v>
      </c>
      <c r="D13" s="45">
        <v>0</v>
      </c>
      <c r="E13" s="45">
        <v>0</v>
      </c>
      <c r="F13" s="45">
        <v>0</v>
      </c>
      <c r="G13" s="45">
        <v>1218000</v>
      </c>
      <c r="H13" s="51"/>
    </row>
    <row r="14" spans="2:8" x14ac:dyDescent="0.3">
      <c r="B14" s="6" t="s">
        <v>82</v>
      </c>
      <c r="C14" s="45">
        <v>12816</v>
      </c>
      <c r="D14" s="45">
        <v>376145</v>
      </c>
      <c r="E14" s="45">
        <v>361502</v>
      </c>
      <c r="F14" s="45">
        <v>282492</v>
      </c>
      <c r="G14" s="45">
        <v>339000</v>
      </c>
      <c r="H14" s="51"/>
    </row>
    <row r="15" spans="2:8" x14ac:dyDescent="0.3">
      <c r="B15" s="6" t="s">
        <v>83</v>
      </c>
      <c r="C15" s="45">
        <v>0</v>
      </c>
      <c r="D15" s="45">
        <v>506302</v>
      </c>
      <c r="E15" s="45">
        <f>456652+60237</f>
        <v>516889</v>
      </c>
      <c r="F15" s="45">
        <v>489707</v>
      </c>
      <c r="G15" s="45">
        <v>591000</v>
      </c>
      <c r="H15" s="51"/>
    </row>
    <row r="16" spans="2:8" x14ac:dyDescent="0.3">
      <c r="B16" s="6" t="s">
        <v>84</v>
      </c>
      <c r="C16" s="45">
        <v>31522</v>
      </c>
      <c r="D16" s="45">
        <v>268165</v>
      </c>
      <c r="E16" s="45">
        <v>441722</v>
      </c>
      <c r="F16" s="45">
        <v>398219</v>
      </c>
      <c r="G16" s="45">
        <v>269000</v>
      </c>
      <c r="H16" s="51"/>
    </row>
    <row r="17" spans="2:8" x14ac:dyDescent="0.3">
      <c r="B17" s="6" t="s">
        <v>85</v>
      </c>
      <c r="C17" s="45">
        <v>46858</v>
      </c>
      <c r="D17" s="45">
        <v>216751</v>
      </c>
      <c r="E17" s="45">
        <v>273123</v>
      </c>
      <c r="F17" s="45">
        <v>571657</v>
      </c>
      <c r="G17" s="45">
        <v>808000</v>
      </c>
      <c r="H17" s="51"/>
    </row>
    <row r="18" spans="2:8" ht="16.8" thickBot="1" x14ac:dyDescent="0.35">
      <c r="B18" s="23" t="s">
        <v>86</v>
      </c>
      <c r="C18" s="47">
        <f>SUM(C9:C17)</f>
        <v>8067939</v>
      </c>
      <c r="D18" s="47">
        <f>SUM(D9:D17)</f>
        <v>22664076</v>
      </c>
      <c r="E18" s="47">
        <f>SUM(E9:E17)</f>
        <v>28655372</v>
      </c>
      <c r="F18" s="47">
        <f>SUM(F9:F17)</f>
        <v>29739614</v>
      </c>
      <c r="G18" s="47">
        <f>SUM(G9:G17)</f>
        <v>34309000</v>
      </c>
      <c r="H18" s="51"/>
    </row>
    <row r="19" spans="2:8" x14ac:dyDescent="0.3">
      <c r="B19" s="6" t="s">
        <v>87</v>
      </c>
      <c r="C19" s="45">
        <v>916148</v>
      </c>
      <c r="D19" s="45">
        <v>1860341</v>
      </c>
      <c r="E19" s="45">
        <v>2390250</v>
      </c>
      <c r="F19" s="45">
        <v>3404451</v>
      </c>
      <c r="G19" s="45">
        <v>3771000</v>
      </c>
      <c r="H19" s="51"/>
    </row>
    <row r="20" spans="2:8" x14ac:dyDescent="0.3">
      <c r="B20" s="6" t="s">
        <v>88</v>
      </c>
      <c r="C20" s="45">
        <v>422798</v>
      </c>
      <c r="D20" s="45">
        <v>1210028</v>
      </c>
      <c r="E20" s="45">
        <v>1731366</v>
      </c>
      <c r="F20" s="45">
        <v>2094253</v>
      </c>
      <c r="G20" s="45">
        <v>2905000</v>
      </c>
      <c r="H20" s="51"/>
    </row>
    <row r="21" spans="2:8" x14ac:dyDescent="0.3">
      <c r="B21" s="6" t="s">
        <v>89</v>
      </c>
      <c r="C21" s="45">
        <v>423961</v>
      </c>
      <c r="D21" s="45">
        <v>763126</v>
      </c>
      <c r="E21" s="45">
        <v>1015253</v>
      </c>
      <c r="F21" s="45">
        <v>630292</v>
      </c>
      <c r="G21" s="45">
        <v>1163000</v>
      </c>
      <c r="H21" s="51"/>
    </row>
    <row r="22" spans="2:8" x14ac:dyDescent="0.3">
      <c r="B22" s="6" t="s">
        <v>90</v>
      </c>
      <c r="C22" s="45">
        <v>136831</v>
      </c>
      <c r="D22" s="45">
        <v>179504</v>
      </c>
      <c r="E22" s="45">
        <v>787333</v>
      </c>
      <c r="F22" s="45">
        <v>502840</v>
      </c>
      <c r="G22" s="45">
        <v>317000</v>
      </c>
      <c r="H22" s="51"/>
    </row>
    <row r="23" spans="2:8" x14ac:dyDescent="0.3">
      <c r="B23" s="6" t="s">
        <v>91</v>
      </c>
      <c r="C23" s="45">
        <v>283370</v>
      </c>
      <c r="D23" s="45">
        <v>663859</v>
      </c>
      <c r="E23" s="45">
        <v>853919</v>
      </c>
      <c r="F23" s="45">
        <v>792601</v>
      </c>
      <c r="G23" s="45">
        <v>726000</v>
      </c>
      <c r="H23" s="51"/>
    </row>
    <row r="24" spans="2:8" x14ac:dyDescent="0.3">
      <c r="B24" s="6" t="s">
        <v>92</v>
      </c>
      <c r="C24" s="45">
        <v>627927</v>
      </c>
      <c r="D24" s="45">
        <v>984211</v>
      </c>
      <c r="E24" s="45">
        <v>796549</v>
      </c>
      <c r="F24" s="45">
        <v>2567699</v>
      </c>
      <c r="G24" s="45">
        <v>1785000</v>
      </c>
      <c r="H24" s="51"/>
    </row>
    <row r="25" spans="2:8" x14ac:dyDescent="0.3">
      <c r="B25" s="6" t="s">
        <v>93</v>
      </c>
      <c r="C25" s="45"/>
      <c r="D25" s="45"/>
      <c r="E25" s="20"/>
      <c r="F25" s="45"/>
      <c r="G25" s="20"/>
      <c r="H25" s="51"/>
    </row>
    <row r="26" spans="2:8" x14ac:dyDescent="0.3">
      <c r="B26" s="6" t="s">
        <v>94</v>
      </c>
      <c r="C26" s="45">
        <v>0</v>
      </c>
      <c r="D26" s="45">
        <v>165936</v>
      </c>
      <c r="E26" s="45">
        <v>100000</v>
      </c>
      <c r="F26" s="45">
        <v>0</v>
      </c>
      <c r="G26" s="45">
        <v>0</v>
      </c>
      <c r="H26" s="51"/>
    </row>
    <row r="27" spans="2:8" ht="16.2" x14ac:dyDescent="0.3">
      <c r="B27" s="21" t="s">
        <v>95</v>
      </c>
      <c r="C27" s="46">
        <v>2811035</v>
      </c>
      <c r="D27" s="46">
        <v>5827005</v>
      </c>
      <c r="E27" s="46">
        <f>SUM(E19:E26)</f>
        <v>7674670</v>
      </c>
      <c r="F27" s="46">
        <f>SUM(F19:F26)</f>
        <v>9992136</v>
      </c>
      <c r="G27" s="46">
        <f>SUM(G19:G26)</f>
        <v>10667000</v>
      </c>
      <c r="H27" s="51"/>
    </row>
    <row r="28" spans="2:8" x14ac:dyDescent="0.3">
      <c r="B28" s="6" t="s">
        <v>96</v>
      </c>
      <c r="C28" s="45"/>
      <c r="D28" s="45"/>
      <c r="E28" s="45"/>
      <c r="F28" s="45"/>
      <c r="G28" s="45"/>
      <c r="H28" s="51"/>
    </row>
    <row r="29" spans="2:8" x14ac:dyDescent="0.3">
      <c r="B29" s="6" t="s">
        <v>83</v>
      </c>
      <c r="C29" s="45">
        <v>2021093</v>
      </c>
      <c r="D29" s="45">
        <v>5860049</v>
      </c>
      <c r="E29" s="45">
        <v>9415700</v>
      </c>
      <c r="F29" s="45">
        <v>9403672</v>
      </c>
      <c r="G29" s="45">
        <v>11634000</v>
      </c>
      <c r="H29" s="51"/>
    </row>
    <row r="30" spans="2:8" x14ac:dyDescent="0.3">
      <c r="B30" s="6" t="s">
        <v>97</v>
      </c>
      <c r="C30" s="20">
        <v>2152107</v>
      </c>
      <c r="D30" s="20">
        <v>5438936</v>
      </c>
      <c r="E30" s="20">
        <v>6330414</v>
      </c>
      <c r="F30" s="20">
        <v>4586166</v>
      </c>
      <c r="G30" s="20">
        <v>4541000</v>
      </c>
      <c r="H30" s="51"/>
    </row>
    <row r="31" spans="2:8" ht="16.2" x14ac:dyDescent="0.3">
      <c r="B31" s="48" t="s">
        <v>98</v>
      </c>
      <c r="C31" s="49">
        <f>SUM(C27:C30)</f>
        <v>6984235</v>
      </c>
      <c r="D31" s="49">
        <f>SUM(D27:D30)</f>
        <v>17125990</v>
      </c>
      <c r="E31" s="49">
        <f>SUM(E27:E30)</f>
        <v>23420784</v>
      </c>
      <c r="F31" s="49">
        <f>SUM(F27:F30)</f>
        <v>23981974</v>
      </c>
      <c r="G31" s="49">
        <f>SUM(G27:G30)</f>
        <v>26842000</v>
      </c>
      <c r="H31" s="51"/>
    </row>
    <row r="32" spans="2:8" ht="16.2" x14ac:dyDescent="0.3">
      <c r="B32" s="48" t="s">
        <v>99</v>
      </c>
      <c r="C32" s="49">
        <v>1083704</v>
      </c>
      <c r="D32" s="49">
        <v>4752911</v>
      </c>
      <c r="E32" s="49">
        <v>4237242</v>
      </c>
      <c r="F32" s="49">
        <v>4923243</v>
      </c>
      <c r="G32" s="49">
        <v>6618000</v>
      </c>
      <c r="H32" s="51"/>
    </row>
    <row r="33" spans="2:8" x14ac:dyDescent="0.3">
      <c r="B33" s="6" t="s">
        <v>100</v>
      </c>
      <c r="C33" s="45">
        <v>0</v>
      </c>
      <c r="D33" s="45">
        <v>785175</v>
      </c>
      <c r="E33" s="45">
        <v>997346</v>
      </c>
      <c r="F33" s="45">
        <v>834397</v>
      </c>
      <c r="G33" s="45">
        <v>849000</v>
      </c>
      <c r="H33" s="51"/>
    </row>
    <row r="34" spans="2:8" ht="16.8" thickBot="1" x14ac:dyDescent="0.35">
      <c r="B34" s="23" t="s">
        <v>101</v>
      </c>
      <c r="C34" s="47">
        <f>C31+C32+C33</f>
        <v>8067939</v>
      </c>
      <c r="D34" s="47">
        <f>D31+D32+D33</f>
        <v>22664076</v>
      </c>
      <c r="E34" s="47">
        <f>E31+E32+E33</f>
        <v>28655372</v>
      </c>
      <c r="F34" s="47">
        <f>F31+F32+F33</f>
        <v>29739614</v>
      </c>
      <c r="G34" s="47">
        <f>G31+G32+G33</f>
        <v>34309000</v>
      </c>
      <c r="H34" s="51"/>
    </row>
    <row r="36" spans="2:8" ht="16.2" x14ac:dyDescent="0.35">
      <c r="B36" s="32" t="s">
        <v>43</v>
      </c>
      <c r="C36" s="52"/>
      <c r="D36" s="52"/>
      <c r="E36" s="52"/>
      <c r="F36" s="52"/>
      <c r="G36" s="52"/>
    </row>
    <row r="37" spans="2:8" ht="16.2" x14ac:dyDescent="0.35">
      <c r="B37" s="25" t="s">
        <v>55</v>
      </c>
      <c r="C37" s="52"/>
      <c r="D37" s="52"/>
      <c r="E37" s="52"/>
      <c r="F37" s="52"/>
      <c r="G37" s="52"/>
    </row>
    <row r="38" spans="2:8" x14ac:dyDescent="0.3">
      <c r="B38" s="26" t="s">
        <v>56</v>
      </c>
      <c r="C38" s="52">
        <f>(C4+C5)/C27</f>
        <v>0.43383878180100921</v>
      </c>
      <c r="D38" s="52">
        <f>(D4+D5)/D27</f>
        <v>0.60043452854425217</v>
      </c>
      <c r="E38" s="52">
        <f>(E4+E5)/E27</f>
        <v>0.45907341944344188</v>
      </c>
      <c r="F38" s="52">
        <f>(F4+F5)/F27</f>
        <v>0.38812211923456608</v>
      </c>
      <c r="G38" s="52">
        <f>(G4+G5)/G27</f>
        <v>0.6106684166119809</v>
      </c>
    </row>
    <row r="39" spans="2:8" x14ac:dyDescent="0.3">
      <c r="B39" s="26" t="s">
        <v>57</v>
      </c>
      <c r="C39" s="52">
        <f>C9/C27</f>
        <v>0.98967319866170289</v>
      </c>
      <c r="D39" s="52">
        <f>D9/D27</f>
        <v>1.0742733187975642</v>
      </c>
      <c r="E39" s="52">
        <f>E9/E27</f>
        <v>0.8561306219029613</v>
      </c>
      <c r="F39" s="52">
        <f>F9/F27</f>
        <v>0.83128452214821735</v>
      </c>
      <c r="G39" s="52">
        <f>G9/G27</f>
        <v>1.1346207931002157</v>
      </c>
    </row>
    <row r="40" spans="2:8" x14ac:dyDescent="0.3">
      <c r="B40" s="26" t="s">
        <v>58</v>
      </c>
      <c r="C40" s="52">
        <f>C6/'P&amp;L Input'!C7*360</f>
        <v>15.033866572747325</v>
      </c>
      <c r="D40" s="52">
        <f>D6/'P&amp;L Input'!D7*360</f>
        <v>25.66967594325364</v>
      </c>
      <c r="E40" s="52">
        <f>E6/'P&amp;L Input'!E7*360</f>
        <v>15.77864519794662</v>
      </c>
      <c r="F40" s="52">
        <f>F6/'P&amp;L Input'!F7*360</f>
        <v>15.919279326831946</v>
      </c>
      <c r="G40" s="52">
        <f>G6/'P&amp;L Input'!G7*360</f>
        <v>19.392953047440802</v>
      </c>
    </row>
    <row r="41" spans="2:8" x14ac:dyDescent="0.3">
      <c r="B41" s="26" t="s">
        <v>59</v>
      </c>
      <c r="C41" s="52">
        <f>-C7/SUM('P&amp;L Input'!C8:C10)*360</f>
        <v>147.32375944829212</v>
      </c>
      <c r="D41" s="52">
        <f>-D7/SUM('P&amp;L Input'!D8:D10)*360</f>
        <v>137.80793667692734</v>
      </c>
      <c r="E41" s="52">
        <f>-E7/SUM('P&amp;L Input'!E8:E10)*360</f>
        <v>85.449953986173199</v>
      </c>
      <c r="F41" s="52">
        <f>-F7/SUM('P&amp;L Input'!F8:F10)*360</f>
        <v>64.344949009563962</v>
      </c>
      <c r="G41" s="52">
        <f>-G7/SUM('P&amp;L Input'!G8:G10)*360</f>
        <v>62.34921254083573</v>
      </c>
    </row>
    <row r="42" spans="2:8" x14ac:dyDescent="0.3">
      <c r="B42" s="26" t="s">
        <v>60</v>
      </c>
      <c r="C42" s="52">
        <f>-C19/SUM('P&amp;L Input'!C8:C10)*360</f>
        <v>105.62400521117225</v>
      </c>
      <c r="D42" s="52">
        <f>-D19/SUM('P&amp;L Input'!D8:D10)*360</f>
        <v>124.00264031291226</v>
      </c>
      <c r="E42" s="52">
        <f>-E19/SUM('P&amp;L Input'!E8:E10)*360</f>
        <v>90.233449912879919</v>
      </c>
      <c r="F42" s="52">
        <f>-F19/SUM('P&amp;L Input'!F8:F10)*360</f>
        <v>70.359089574882319</v>
      </c>
      <c r="G42" s="52">
        <f>-G19/SUM('P&amp;L Input'!G8:G10)*360</f>
        <v>66.193378516748751</v>
      </c>
    </row>
    <row r="43" spans="2:8" x14ac:dyDescent="0.3">
      <c r="B43" s="26" t="s">
        <v>61</v>
      </c>
      <c r="C43" s="52">
        <f>C40+C41-C42</f>
        <v>56.73362080986719</v>
      </c>
      <c r="D43" s="52">
        <f>D40+D41-D42</f>
        <v>39.474972307268729</v>
      </c>
      <c r="E43" s="52">
        <f>E40+E41-E42</f>
        <v>10.995149271239896</v>
      </c>
      <c r="F43" s="52">
        <f>F40+F41-F42</f>
        <v>9.9051387615135837</v>
      </c>
      <c r="G43" s="52">
        <f>G40+G41-G42</f>
        <v>15.548787071527784</v>
      </c>
    </row>
    <row r="44" spans="2:8" ht="16.2" x14ac:dyDescent="0.35">
      <c r="B44" s="25" t="s">
        <v>62</v>
      </c>
      <c r="C44" s="52"/>
      <c r="D44" s="52"/>
      <c r="E44" s="52"/>
      <c r="F44" s="52"/>
      <c r="G44" s="52"/>
    </row>
    <row r="45" spans="2:8" x14ac:dyDescent="0.3">
      <c r="B45" s="26" t="s">
        <v>63</v>
      </c>
      <c r="C45" s="52">
        <f>C31/C18</f>
        <v>0.86567771521326575</v>
      </c>
      <c r="D45" s="52">
        <f t="shared" ref="D45:G45" si="0">D31/D18</f>
        <v>0.75564474810268023</v>
      </c>
      <c r="E45" s="52">
        <f t="shared" si="0"/>
        <v>0.81732611951434442</v>
      </c>
      <c r="F45" s="52">
        <f t="shared" si="0"/>
        <v>0.80639829420785358</v>
      </c>
      <c r="G45" s="52">
        <f t="shared" si="0"/>
        <v>0.78236031362033287</v>
      </c>
    </row>
    <row r="46" spans="2:8" x14ac:dyDescent="0.3">
      <c r="B46" s="26" t="s">
        <v>64</v>
      </c>
      <c r="C46" s="53" t="s">
        <v>65</v>
      </c>
      <c r="D46" s="53" t="s">
        <v>65</v>
      </c>
      <c r="E46" s="53" t="s">
        <v>65</v>
      </c>
      <c r="F46" s="53" t="s">
        <v>65</v>
      </c>
      <c r="G46" s="53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37FA-3771-418B-B14D-49B772C53DFD}">
  <sheetPr>
    <tabColor rgb="FF002060"/>
  </sheetPr>
  <dimension ref="B13"/>
  <sheetViews>
    <sheetView showGridLines="0" workbookViewId="0"/>
  </sheetViews>
  <sheetFormatPr defaultRowHeight="14.4" x14ac:dyDescent="0.3"/>
  <sheetData>
    <row r="13" spans="2:2" ht="61.8" x14ac:dyDescent="1.1499999999999999">
      <c r="B13" s="41" t="s">
        <v>343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66E6-97BA-4D32-8068-168A6114E525}">
  <sheetPr>
    <tabColor rgb="FF002060"/>
  </sheetPr>
  <dimension ref="B2:B13"/>
  <sheetViews>
    <sheetView showGridLines="0" workbookViewId="0"/>
  </sheetViews>
  <sheetFormatPr defaultRowHeight="14.4" x14ac:dyDescent="0.3"/>
  <cols>
    <col min="1" max="16384" width="8.88671875" style="54"/>
  </cols>
  <sheetData>
    <row r="2" spans="2:2" ht="21" x14ac:dyDescent="0.4">
      <c r="B2" s="43"/>
    </row>
    <row r="13" spans="2:2" ht="61.8" x14ac:dyDescent="1.1499999999999999">
      <c r="B13" s="41" t="s">
        <v>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5476-E9CF-410A-ADD4-0C980974B100}">
  <dimension ref="A1:Q27"/>
  <sheetViews>
    <sheetView workbookViewId="0"/>
  </sheetViews>
  <sheetFormatPr defaultColWidth="9.109375" defaultRowHeight="15.6" x14ac:dyDescent="0.3"/>
  <cols>
    <col min="1" max="1" width="2" style="6" customWidth="1"/>
    <col min="2" max="2" width="38.6640625" style="6" customWidth="1"/>
    <col min="3" max="4" width="11.6640625" style="6" bestFit="1" customWidth="1"/>
    <col min="5" max="5" width="11.21875" style="6" bestFit="1" customWidth="1"/>
    <col min="6" max="6" width="11.77734375" style="6" bestFit="1" customWidth="1"/>
    <col min="7" max="7" width="11.33203125" style="6" bestFit="1" customWidth="1"/>
    <col min="8" max="10" width="11.21875" style="6" bestFit="1" customWidth="1"/>
    <col min="11" max="17" width="12.44140625" style="6" bestFit="1" customWidth="1"/>
    <col min="18" max="16384" width="9.109375" style="6"/>
  </cols>
  <sheetData>
    <row r="1" spans="1:17" ht="21" x14ac:dyDescent="0.3">
      <c r="A1" s="55"/>
      <c r="B1" s="16" t="s">
        <v>345</v>
      </c>
    </row>
    <row r="2" spans="1:17" ht="16.2" x14ac:dyDescent="0.3">
      <c r="A2" s="55"/>
      <c r="B2" s="4"/>
    </row>
    <row r="3" spans="1:17" ht="16.2" x14ac:dyDescent="0.3">
      <c r="B3" s="263" t="s">
        <v>102</v>
      </c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</row>
    <row r="4" spans="1:17" ht="32.4" x14ac:dyDescent="0.3">
      <c r="B4" s="56" t="s">
        <v>103</v>
      </c>
      <c r="C4" s="19" t="s">
        <v>17</v>
      </c>
      <c r="D4" s="19" t="s">
        <v>18</v>
      </c>
      <c r="E4" s="19" t="s">
        <v>19</v>
      </c>
      <c r="F4" s="19" t="s">
        <v>20</v>
      </c>
      <c r="G4" s="19" t="s">
        <v>21</v>
      </c>
      <c r="H4" s="57" t="s">
        <v>126</v>
      </c>
      <c r="I4" s="57" t="s">
        <v>127</v>
      </c>
      <c r="J4" s="57" t="s">
        <v>128</v>
      </c>
      <c r="K4" s="57" t="s">
        <v>129</v>
      </c>
      <c r="L4" s="57" t="s">
        <v>130</v>
      </c>
      <c r="M4" s="57" t="s">
        <v>131</v>
      </c>
      <c r="N4" s="57" t="s">
        <v>132</v>
      </c>
      <c r="O4" s="57" t="s">
        <v>133</v>
      </c>
      <c r="P4" s="57" t="s">
        <v>134</v>
      </c>
      <c r="Q4" s="57" t="s">
        <v>135</v>
      </c>
    </row>
    <row r="5" spans="1:17" x14ac:dyDescent="0.3">
      <c r="B5" s="6" t="s">
        <v>114</v>
      </c>
      <c r="C5" s="20">
        <v>0</v>
      </c>
      <c r="D5" s="20">
        <v>0</v>
      </c>
      <c r="E5" s="20">
        <v>1764</v>
      </c>
      <c r="F5" s="20">
        <v>146055</v>
      </c>
      <c r="G5" s="20">
        <v>300815</v>
      </c>
      <c r="H5" s="58">
        <f>G5*(1+H15)</f>
        <v>481304</v>
      </c>
      <c r="I5" s="58">
        <f t="shared" ref="I5:Q5" si="0">H5*(1+I15)</f>
        <v>529434.4</v>
      </c>
      <c r="J5" s="58">
        <f t="shared" si="0"/>
        <v>582377.84000000008</v>
      </c>
      <c r="K5" s="58">
        <f t="shared" si="0"/>
        <v>628968.06720000017</v>
      </c>
      <c r="L5" s="58">
        <f t="shared" si="0"/>
        <v>679285.51257600018</v>
      </c>
      <c r="M5" s="58">
        <f t="shared" si="0"/>
        <v>706456.93307904026</v>
      </c>
      <c r="N5" s="58">
        <f t="shared" si="0"/>
        <v>734715.21040220186</v>
      </c>
      <c r="O5" s="58">
        <f t="shared" si="0"/>
        <v>764103.81881829002</v>
      </c>
      <c r="P5" s="58">
        <f t="shared" si="0"/>
        <v>794667.9715710216</v>
      </c>
      <c r="Q5" s="58">
        <f t="shared" si="0"/>
        <v>826454.6904338625</v>
      </c>
    </row>
    <row r="6" spans="1:17" x14ac:dyDescent="0.3">
      <c r="B6" s="6" t="s">
        <v>115</v>
      </c>
      <c r="C6" s="20">
        <v>50580</v>
      </c>
      <c r="D6" s="20">
        <v>76230</v>
      </c>
      <c r="E6" s="20">
        <v>101312</v>
      </c>
      <c r="F6" s="20">
        <v>98865</v>
      </c>
      <c r="G6" s="20">
        <v>66385</v>
      </c>
      <c r="H6" s="58">
        <f>G6*(1+H16)</f>
        <v>69040.400000000009</v>
      </c>
      <c r="I6" s="58">
        <f t="shared" ref="I6:Q6" si="1">H6*(1+I16)</f>
        <v>71802.016000000018</v>
      </c>
      <c r="J6" s="58">
        <f t="shared" si="1"/>
        <v>74674.096640000018</v>
      </c>
      <c r="K6" s="58">
        <f t="shared" si="1"/>
        <v>77661.06050560002</v>
      </c>
      <c r="L6" s="58">
        <f t="shared" si="1"/>
        <v>80767.502925824025</v>
      </c>
      <c r="M6" s="58">
        <f t="shared" si="1"/>
        <v>83998.203042856985</v>
      </c>
      <c r="N6" s="58">
        <f t="shared" si="1"/>
        <v>87358.13116457127</v>
      </c>
      <c r="O6" s="58">
        <f t="shared" si="1"/>
        <v>90852.456411154126</v>
      </c>
      <c r="P6" s="58">
        <f t="shared" si="1"/>
        <v>94486.5546676003</v>
      </c>
      <c r="Q6" s="58">
        <f t="shared" si="1"/>
        <v>98266.016854304311</v>
      </c>
    </row>
    <row r="7" spans="1:17" x14ac:dyDescent="0.3">
      <c r="B7" s="6" t="s">
        <v>116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58">
        <f>E5</f>
        <v>1764</v>
      </c>
      <c r="I7" s="58">
        <f t="shared" ref="I7:J7" si="2">F5</f>
        <v>146055</v>
      </c>
      <c r="J7" s="58">
        <f t="shared" si="2"/>
        <v>300815</v>
      </c>
      <c r="K7" s="59">
        <f t="shared" ref="K7:Q7" si="3">J7*(1+K17)</f>
        <v>481304</v>
      </c>
      <c r="L7" s="59">
        <f t="shared" si="3"/>
        <v>529434.4</v>
      </c>
      <c r="M7" s="59">
        <f t="shared" si="3"/>
        <v>582377.84000000008</v>
      </c>
      <c r="N7" s="59">
        <f t="shared" si="3"/>
        <v>628968.06720000017</v>
      </c>
      <c r="O7" s="59">
        <f t="shared" si="3"/>
        <v>679285.51257600018</v>
      </c>
      <c r="P7" s="59">
        <f t="shared" si="3"/>
        <v>706456.93307904026</v>
      </c>
      <c r="Q7" s="59">
        <f t="shared" si="3"/>
        <v>734715.21040220186</v>
      </c>
    </row>
    <row r="8" spans="1:17" x14ac:dyDescent="0.3">
      <c r="B8" s="6" t="s">
        <v>117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58" t="s">
        <v>136</v>
      </c>
      <c r="I8" s="58" t="s">
        <v>136</v>
      </c>
      <c r="J8" s="58">
        <v>500</v>
      </c>
      <c r="K8" s="58">
        <f>J8*(1+K18)</f>
        <v>1000</v>
      </c>
      <c r="L8" s="58">
        <f t="shared" ref="L8:Q8" si="4">K8*(1+L18)</f>
        <v>1500</v>
      </c>
      <c r="M8" s="58">
        <f t="shared" si="4"/>
        <v>1650.0000000000002</v>
      </c>
      <c r="N8" s="58">
        <f t="shared" si="4"/>
        <v>1815.0000000000005</v>
      </c>
      <c r="O8" s="58">
        <f t="shared" si="4"/>
        <v>1960.2000000000007</v>
      </c>
      <c r="P8" s="58">
        <f t="shared" si="4"/>
        <v>2117.016000000001</v>
      </c>
      <c r="Q8" s="58">
        <f t="shared" si="4"/>
        <v>2201.696640000001</v>
      </c>
    </row>
    <row r="9" spans="1:17" x14ac:dyDescent="0.3">
      <c r="B9" s="6" t="s">
        <v>118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58" t="s">
        <v>136</v>
      </c>
      <c r="I9" s="58">
        <v>250</v>
      </c>
      <c r="J9" s="58">
        <f>I9*(1+J19)</f>
        <v>20699.404761904763</v>
      </c>
      <c r="K9" s="58">
        <f t="shared" ref="K9:Q9" si="5">J9*(1+K19)</f>
        <v>42632.511337868491</v>
      </c>
      <c r="L9" s="58">
        <f t="shared" si="5"/>
        <v>68212.018140589586</v>
      </c>
      <c r="M9" s="58">
        <f t="shared" si="5"/>
        <v>75033.21995464855</v>
      </c>
      <c r="N9" s="58">
        <f t="shared" si="5"/>
        <v>82536.541950113417</v>
      </c>
      <c r="O9" s="58">
        <f t="shared" si="5"/>
        <v>89139.465306122496</v>
      </c>
      <c r="P9" s="58">
        <f t="shared" si="5"/>
        <v>96270.622530612309</v>
      </c>
      <c r="Q9" s="58">
        <f t="shared" si="5"/>
        <v>100121.4474318368</v>
      </c>
    </row>
    <row r="10" spans="1:17" x14ac:dyDescent="0.3">
      <c r="B10" s="6" t="s">
        <v>119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58" t="s">
        <v>136</v>
      </c>
      <c r="I10" s="58">
        <v>250</v>
      </c>
      <c r="J10" s="58">
        <f>I10*(1+J20)</f>
        <v>20699.404761904763</v>
      </c>
      <c r="K10" s="58">
        <f t="shared" ref="K10:Q10" si="6">J10*(1+K20)</f>
        <v>42632.511337868491</v>
      </c>
      <c r="L10" s="58">
        <f t="shared" si="6"/>
        <v>68212.018140589586</v>
      </c>
      <c r="M10" s="58">
        <f t="shared" si="6"/>
        <v>75033.21995464855</v>
      </c>
      <c r="N10" s="58">
        <f t="shared" si="6"/>
        <v>82536.541950113417</v>
      </c>
      <c r="O10" s="58">
        <f t="shared" si="6"/>
        <v>89139.465306122496</v>
      </c>
      <c r="P10" s="58">
        <f t="shared" si="6"/>
        <v>96270.622530612309</v>
      </c>
      <c r="Q10" s="58">
        <f t="shared" si="6"/>
        <v>100121.4474318368</v>
      </c>
    </row>
    <row r="11" spans="1:17" ht="16.8" thickBot="1" x14ac:dyDescent="0.4">
      <c r="B11" s="60" t="s">
        <v>120</v>
      </c>
      <c r="C11" s="61">
        <f>SUM(C5:C10)</f>
        <v>50580</v>
      </c>
      <c r="D11" s="61">
        <f>SUM(D5:D10)</f>
        <v>76230</v>
      </c>
      <c r="E11" s="61">
        <f>SUM(E5:E10)</f>
        <v>103076</v>
      </c>
      <c r="F11" s="61">
        <f>SUM(F5:F10)</f>
        <v>244920</v>
      </c>
      <c r="G11" s="61">
        <f>SUM(G5:G10)</f>
        <v>367200</v>
      </c>
      <c r="H11" s="61">
        <f t="shared" ref="H11:Q11" si="7">SUM(H5:H10)</f>
        <v>552108.4</v>
      </c>
      <c r="I11" s="61">
        <f t="shared" si="7"/>
        <v>747791.41600000008</v>
      </c>
      <c r="J11" s="61">
        <f t="shared" si="7"/>
        <v>999765.74616380956</v>
      </c>
      <c r="K11" s="61">
        <f t="shared" si="7"/>
        <v>1274198.1503813369</v>
      </c>
      <c r="L11" s="61">
        <f>SUM(L5:L10)</f>
        <v>1427411.4517830033</v>
      </c>
      <c r="M11" s="61">
        <f t="shared" si="7"/>
        <v>1524549.4160311944</v>
      </c>
      <c r="N11" s="61">
        <f t="shared" si="7"/>
        <v>1617929.492667</v>
      </c>
      <c r="O11" s="61">
        <f t="shared" si="7"/>
        <v>1714480.9184176894</v>
      </c>
      <c r="P11" s="61">
        <f t="shared" si="7"/>
        <v>1790269.7203788871</v>
      </c>
      <c r="Q11" s="61">
        <f t="shared" si="7"/>
        <v>1861880.5091940423</v>
      </c>
    </row>
    <row r="13" spans="1:17" x14ac:dyDescent="0.3">
      <c r="B13" s="69" t="s">
        <v>121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</row>
    <row r="14" spans="1:17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</row>
    <row r="15" spans="1:17" x14ac:dyDescent="0.3">
      <c r="B15" s="63" t="s">
        <v>114</v>
      </c>
      <c r="C15" s="64" t="s">
        <v>122</v>
      </c>
      <c r="D15" s="64" t="s">
        <v>122</v>
      </c>
      <c r="E15" s="64" t="s">
        <v>122</v>
      </c>
      <c r="F15" s="65">
        <f>F5/E5-1</f>
        <v>81.797619047619051</v>
      </c>
      <c r="G15" s="65">
        <f t="shared" ref="G15" si="8">G5/F5-1</f>
        <v>1.0596008353017701</v>
      </c>
      <c r="H15" s="65">
        <v>0.6</v>
      </c>
      <c r="I15" s="65">
        <f>$C$25</f>
        <v>0.1</v>
      </c>
      <c r="J15" s="65">
        <f>$C$25</f>
        <v>0.1</v>
      </c>
      <c r="K15" s="65">
        <f>$C$26</f>
        <v>0.08</v>
      </c>
      <c r="L15" s="65">
        <f>$C$26</f>
        <v>0.08</v>
      </c>
      <c r="M15" s="65">
        <f>$C$27</f>
        <v>0.04</v>
      </c>
      <c r="N15" s="65">
        <f t="shared" ref="N15:Q16" si="9">$C$27</f>
        <v>0.04</v>
      </c>
      <c r="O15" s="65">
        <f t="shared" si="9"/>
        <v>0.04</v>
      </c>
      <c r="P15" s="65">
        <f t="shared" si="9"/>
        <v>0.04</v>
      </c>
      <c r="Q15" s="65">
        <f t="shared" si="9"/>
        <v>0.04</v>
      </c>
    </row>
    <row r="16" spans="1:17" x14ac:dyDescent="0.3">
      <c r="B16" s="63" t="s">
        <v>115</v>
      </c>
      <c r="C16" s="64" t="s">
        <v>122</v>
      </c>
      <c r="D16" s="65">
        <f>D6/C6-1</f>
        <v>0.50711743772241991</v>
      </c>
      <c r="E16" s="65">
        <f t="shared" ref="E16:G16" si="10">E6/D6-1</f>
        <v>0.32903056539420183</v>
      </c>
      <c r="F16" s="65">
        <f t="shared" si="10"/>
        <v>-2.4153111181301368E-2</v>
      </c>
      <c r="G16" s="65">
        <f t="shared" si="10"/>
        <v>-0.32852880190158296</v>
      </c>
      <c r="H16" s="66">
        <f>$C$27</f>
        <v>0.04</v>
      </c>
      <c r="I16" s="66">
        <f t="shared" ref="I16:M16" si="11">$C$27</f>
        <v>0.04</v>
      </c>
      <c r="J16" s="66">
        <f t="shared" si="11"/>
        <v>0.04</v>
      </c>
      <c r="K16" s="66">
        <f t="shared" si="11"/>
        <v>0.04</v>
      </c>
      <c r="L16" s="66">
        <f t="shared" si="11"/>
        <v>0.04</v>
      </c>
      <c r="M16" s="66">
        <f t="shared" si="11"/>
        <v>0.04</v>
      </c>
      <c r="N16" s="66">
        <f t="shared" si="9"/>
        <v>0.04</v>
      </c>
      <c r="O16" s="66">
        <f t="shared" si="9"/>
        <v>0.04</v>
      </c>
      <c r="P16" s="66">
        <f t="shared" si="9"/>
        <v>0.04</v>
      </c>
      <c r="Q16" s="66">
        <f t="shared" si="9"/>
        <v>0.04</v>
      </c>
    </row>
    <row r="17" spans="2:17" x14ac:dyDescent="0.3">
      <c r="B17" s="63" t="s">
        <v>116</v>
      </c>
      <c r="C17" s="64" t="s">
        <v>122</v>
      </c>
      <c r="D17" s="64" t="s">
        <v>122</v>
      </c>
      <c r="E17" s="64" t="s">
        <v>122</v>
      </c>
      <c r="F17" s="64" t="s">
        <v>122</v>
      </c>
      <c r="G17" s="64" t="s">
        <v>122</v>
      </c>
      <c r="H17" s="67" t="s">
        <v>122</v>
      </c>
      <c r="I17" s="66">
        <f>F15</f>
        <v>81.797619047619051</v>
      </c>
      <c r="J17" s="66">
        <f t="shared" ref="J17:Q17" si="12">G15</f>
        <v>1.0596008353017701</v>
      </c>
      <c r="K17" s="66">
        <f t="shared" si="12"/>
        <v>0.6</v>
      </c>
      <c r="L17" s="66">
        <f t="shared" si="12"/>
        <v>0.1</v>
      </c>
      <c r="M17" s="66">
        <f t="shared" si="12"/>
        <v>0.1</v>
      </c>
      <c r="N17" s="66">
        <f t="shared" si="12"/>
        <v>0.08</v>
      </c>
      <c r="O17" s="66">
        <f t="shared" si="12"/>
        <v>0.08</v>
      </c>
      <c r="P17" s="66">
        <f t="shared" si="12"/>
        <v>0.04</v>
      </c>
      <c r="Q17" s="66">
        <f t="shared" si="12"/>
        <v>0.04</v>
      </c>
    </row>
    <row r="18" spans="2:17" x14ac:dyDescent="0.3">
      <c r="B18" s="63" t="s">
        <v>117</v>
      </c>
      <c r="C18" s="64" t="s">
        <v>122</v>
      </c>
      <c r="D18" s="64" t="s">
        <v>122</v>
      </c>
      <c r="E18" s="64" t="s">
        <v>122</v>
      </c>
      <c r="F18" s="64" t="s">
        <v>122</v>
      </c>
      <c r="G18" s="64" t="s">
        <v>122</v>
      </c>
      <c r="H18" s="67" t="s">
        <v>122</v>
      </c>
      <c r="I18" s="67" t="s">
        <v>122</v>
      </c>
      <c r="J18" s="67" t="s">
        <v>122</v>
      </c>
      <c r="K18" s="66">
        <v>1</v>
      </c>
      <c r="L18" s="66">
        <v>0.5</v>
      </c>
      <c r="M18" s="66">
        <f t="shared" ref="M18:N20" si="13">$C$25</f>
        <v>0.1</v>
      </c>
      <c r="N18" s="66">
        <f t="shared" si="13"/>
        <v>0.1</v>
      </c>
      <c r="O18" s="66">
        <f t="shared" ref="O18:P20" si="14">$C$26</f>
        <v>0.08</v>
      </c>
      <c r="P18" s="66">
        <f t="shared" si="14"/>
        <v>0.08</v>
      </c>
      <c r="Q18" s="66">
        <f t="shared" ref="Q18:Q20" si="15">$C$27</f>
        <v>0.04</v>
      </c>
    </row>
    <row r="19" spans="2:17" x14ac:dyDescent="0.3">
      <c r="B19" s="63" t="s">
        <v>118</v>
      </c>
      <c r="C19" s="64" t="s">
        <v>122</v>
      </c>
      <c r="D19" s="64" t="s">
        <v>122</v>
      </c>
      <c r="E19" s="64" t="s">
        <v>122</v>
      </c>
      <c r="F19" s="64" t="s">
        <v>122</v>
      </c>
      <c r="G19" s="64" t="s">
        <v>122</v>
      </c>
      <c r="H19" s="64" t="s">
        <v>122</v>
      </c>
      <c r="I19" s="64" t="s">
        <v>122</v>
      </c>
      <c r="J19" s="66">
        <f t="shared" ref="J19:L20" si="16">F$15</f>
        <v>81.797619047619051</v>
      </c>
      <c r="K19" s="66">
        <f t="shared" si="16"/>
        <v>1.0596008353017701</v>
      </c>
      <c r="L19" s="66">
        <f t="shared" si="16"/>
        <v>0.6</v>
      </c>
      <c r="M19" s="66">
        <f t="shared" si="13"/>
        <v>0.1</v>
      </c>
      <c r="N19" s="66">
        <f t="shared" si="13"/>
        <v>0.1</v>
      </c>
      <c r="O19" s="66">
        <f t="shared" si="14"/>
        <v>0.08</v>
      </c>
      <c r="P19" s="66">
        <f t="shared" si="14"/>
        <v>0.08</v>
      </c>
      <c r="Q19" s="66">
        <f t="shared" si="15"/>
        <v>0.04</v>
      </c>
    </row>
    <row r="20" spans="2:17" x14ac:dyDescent="0.3">
      <c r="B20" s="63" t="s">
        <v>119</v>
      </c>
      <c r="C20" s="64" t="s">
        <v>122</v>
      </c>
      <c r="D20" s="64" t="s">
        <v>122</v>
      </c>
      <c r="E20" s="64" t="s">
        <v>122</v>
      </c>
      <c r="F20" s="64" t="s">
        <v>122</v>
      </c>
      <c r="G20" s="64" t="s">
        <v>122</v>
      </c>
      <c r="H20" s="64" t="s">
        <v>122</v>
      </c>
      <c r="I20" s="64" t="s">
        <v>122</v>
      </c>
      <c r="J20" s="66">
        <f t="shared" si="16"/>
        <v>81.797619047619051</v>
      </c>
      <c r="K20" s="66">
        <f t="shared" si="16"/>
        <v>1.0596008353017701</v>
      </c>
      <c r="L20" s="66">
        <f t="shared" si="16"/>
        <v>0.6</v>
      </c>
      <c r="M20" s="66">
        <f t="shared" si="13"/>
        <v>0.1</v>
      </c>
      <c r="N20" s="66">
        <f t="shared" si="13"/>
        <v>0.1</v>
      </c>
      <c r="O20" s="66">
        <f t="shared" si="14"/>
        <v>0.08</v>
      </c>
      <c r="P20" s="66">
        <f t="shared" si="14"/>
        <v>0.08</v>
      </c>
      <c r="Q20" s="66">
        <f t="shared" si="15"/>
        <v>0.04</v>
      </c>
    </row>
    <row r="21" spans="2:17" x14ac:dyDescent="0.3">
      <c r="B21" s="63"/>
      <c r="C21" s="64"/>
      <c r="D21" s="64"/>
      <c r="E21" s="64"/>
      <c r="F21" s="63"/>
      <c r="G21" s="63"/>
      <c r="H21" s="64"/>
      <c r="I21" s="68"/>
      <c r="J21" s="68"/>
      <c r="K21" s="68"/>
      <c r="L21" s="68"/>
      <c r="M21" s="68"/>
      <c r="N21" s="68"/>
      <c r="O21" s="68"/>
      <c r="P21" s="68"/>
      <c r="Q21" s="68"/>
    </row>
    <row r="24" spans="2:17" ht="16.2" x14ac:dyDescent="0.3">
      <c r="B24" s="7" t="s">
        <v>123</v>
      </c>
    </row>
    <row r="25" spans="2:17" x14ac:dyDescent="0.3">
      <c r="B25" s="6" t="s">
        <v>124</v>
      </c>
      <c r="C25" s="10">
        <v>0.1</v>
      </c>
    </row>
    <row r="26" spans="2:17" x14ac:dyDescent="0.3">
      <c r="B26" s="6" t="s">
        <v>124</v>
      </c>
      <c r="C26" s="10">
        <v>0.08</v>
      </c>
    </row>
    <row r="27" spans="2:17" x14ac:dyDescent="0.3">
      <c r="B27" s="6" t="s">
        <v>125</v>
      </c>
      <c r="C27" s="10">
        <v>0.04</v>
      </c>
    </row>
  </sheetData>
  <mergeCells count="1">
    <mergeCell ref="B3:Q3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8D68-777A-48E5-8851-0EBDA99942FE}">
  <dimension ref="B1"/>
  <sheetViews>
    <sheetView showGridLines="0" workbookViewId="0"/>
  </sheetViews>
  <sheetFormatPr defaultRowHeight="14.4" x14ac:dyDescent="0.3"/>
  <cols>
    <col min="1" max="1" width="3.109375" style="40" customWidth="1"/>
    <col min="2" max="2" width="43.33203125" style="70" bestFit="1" customWidth="1"/>
    <col min="3" max="16384" width="8.88671875" style="40"/>
  </cols>
  <sheetData>
    <row r="1" spans="2:2" ht="21" x14ac:dyDescent="0.4">
      <c r="B1" s="71" t="s">
        <v>346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9A29-B532-4FC5-B84F-688ACF087945}">
  <dimension ref="A1:D18"/>
  <sheetViews>
    <sheetView workbookViewId="0"/>
  </sheetViews>
  <sheetFormatPr defaultColWidth="9.109375" defaultRowHeight="15.6" x14ac:dyDescent="0.3"/>
  <cols>
    <col min="1" max="1" width="3.44140625" style="6" customWidth="1"/>
    <col min="2" max="2" width="43.6640625" style="6" bestFit="1" customWidth="1"/>
    <col min="3" max="3" width="23.33203125" style="6" customWidth="1"/>
    <col min="4" max="4" width="17.6640625" style="6" bestFit="1" customWidth="1"/>
    <col min="5" max="5" width="10.88671875" style="6" bestFit="1" customWidth="1"/>
    <col min="6" max="6" width="9.109375" style="6"/>
    <col min="7" max="7" width="10.5546875" style="6" bestFit="1" customWidth="1"/>
    <col min="8" max="16384" width="9.109375" style="6"/>
  </cols>
  <sheetData>
    <row r="1" spans="1:4" ht="21" x14ac:dyDescent="0.3">
      <c r="A1" s="55"/>
      <c r="B1" s="16" t="s">
        <v>347</v>
      </c>
    </row>
    <row r="2" spans="1:4" ht="16.2" x14ac:dyDescent="0.3">
      <c r="A2" s="55"/>
      <c r="B2" s="4"/>
    </row>
    <row r="3" spans="1:4" ht="16.2" x14ac:dyDescent="0.3">
      <c r="B3" s="4" t="s">
        <v>137</v>
      </c>
    </row>
    <row r="4" spans="1:4" ht="16.2" x14ac:dyDescent="0.3">
      <c r="B4" s="4"/>
    </row>
    <row r="5" spans="1:4" ht="16.2" x14ac:dyDescent="0.35">
      <c r="B5" s="74" t="s">
        <v>139</v>
      </c>
      <c r="C5" s="50" t="s">
        <v>140</v>
      </c>
      <c r="D5" s="50" t="s">
        <v>141</v>
      </c>
    </row>
    <row r="6" spans="1:4" x14ac:dyDescent="0.3">
      <c r="B6" s="6" t="s">
        <v>142</v>
      </c>
      <c r="C6" s="72">
        <v>9600340</v>
      </c>
      <c r="D6" s="72">
        <f>C6</f>
        <v>9600340</v>
      </c>
    </row>
    <row r="7" spans="1:4" x14ac:dyDescent="0.3">
      <c r="B7" s="6" t="s">
        <v>143</v>
      </c>
      <c r="C7" s="72">
        <v>6607000</v>
      </c>
      <c r="D7" s="72">
        <f t="shared" ref="D7:D10" si="0">C7</f>
        <v>6607000</v>
      </c>
    </row>
    <row r="8" spans="1:4" x14ac:dyDescent="0.3">
      <c r="B8" s="6" t="s">
        <v>144</v>
      </c>
      <c r="C8" s="72">
        <v>4740000</v>
      </c>
      <c r="D8" s="72">
        <f t="shared" si="0"/>
        <v>4740000</v>
      </c>
    </row>
    <row r="9" spans="1:4" x14ac:dyDescent="0.3">
      <c r="B9" s="6" t="s">
        <v>145</v>
      </c>
      <c r="C9" s="72">
        <v>2460000</v>
      </c>
      <c r="D9" s="72">
        <f t="shared" si="0"/>
        <v>2460000</v>
      </c>
    </row>
    <row r="10" spans="1:4" x14ac:dyDescent="0.3">
      <c r="B10" s="6" t="s">
        <v>146</v>
      </c>
      <c r="C10" s="72">
        <v>10700000</v>
      </c>
      <c r="D10" s="72">
        <f t="shared" si="0"/>
        <v>10700000</v>
      </c>
    </row>
    <row r="11" spans="1:4" ht="16.8" thickBot="1" x14ac:dyDescent="0.35">
      <c r="B11" s="23" t="s">
        <v>140</v>
      </c>
      <c r="C11" s="75"/>
      <c r="D11" s="76">
        <f>AVERAGE(D6:D10)</f>
        <v>6821468</v>
      </c>
    </row>
    <row r="12" spans="1:4" x14ac:dyDescent="0.3">
      <c r="C12" s="73"/>
      <c r="D12" s="73"/>
    </row>
    <row r="15" spans="1:4" ht="16.2" x14ac:dyDescent="0.35">
      <c r="B15" s="264" t="s">
        <v>147</v>
      </c>
      <c r="C15" s="264"/>
      <c r="D15" s="77"/>
    </row>
    <row r="16" spans="1:4" x14ac:dyDescent="0.3">
      <c r="B16" s="78">
        <v>2020</v>
      </c>
      <c r="C16" s="79">
        <f>'Tesla Automotive Deliveries'!H11</f>
        <v>552108.4</v>
      </c>
      <c r="D16" s="72"/>
    </row>
    <row r="17" spans="2:4" x14ac:dyDescent="0.3">
      <c r="B17" s="78">
        <v>2025</v>
      </c>
      <c r="C17" s="79">
        <f>'Tesla Automotive Deliveries'!M11</f>
        <v>1524549.4160311944</v>
      </c>
      <c r="D17" s="72"/>
    </row>
    <row r="18" spans="2:4" x14ac:dyDescent="0.3">
      <c r="B18" s="78">
        <v>2029</v>
      </c>
      <c r="C18" s="79">
        <f>'Tesla Automotive Deliveries'!Q11</f>
        <v>1861880.5091940423</v>
      </c>
      <c r="D18" s="72"/>
    </row>
  </sheetData>
  <mergeCells count="1">
    <mergeCell ref="B15:C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5FD8-0FBB-454B-AAF2-C61E4EBE5E46}">
  <dimension ref="B1:G30"/>
  <sheetViews>
    <sheetView workbookViewId="0"/>
  </sheetViews>
  <sheetFormatPr defaultColWidth="9.109375" defaultRowHeight="16.2" x14ac:dyDescent="0.3"/>
  <cols>
    <col min="1" max="1" width="3.109375" style="55" customWidth="1"/>
    <col min="2" max="2" width="31.6640625" style="6" bestFit="1" customWidth="1"/>
    <col min="3" max="4" width="10.88671875" style="6" bestFit="1" customWidth="1"/>
    <col min="5" max="5" width="13.44140625" style="6" customWidth="1"/>
    <col min="6" max="6" width="34" style="48" customWidth="1"/>
    <col min="7" max="16384" width="9.109375" style="55"/>
  </cols>
  <sheetData>
    <row r="1" spans="2:6" ht="21" x14ac:dyDescent="0.3">
      <c r="B1" s="16" t="s">
        <v>348</v>
      </c>
      <c r="C1" s="55"/>
      <c r="D1" s="55"/>
      <c r="E1" s="55"/>
    </row>
    <row r="2" spans="2:6" x14ac:dyDescent="0.3">
      <c r="B2" s="55"/>
      <c r="C2" s="55"/>
      <c r="D2" s="55"/>
      <c r="E2" s="55"/>
    </row>
    <row r="3" spans="2:6" ht="32.4" x14ac:dyDescent="0.3">
      <c r="B3" s="97" t="s">
        <v>148</v>
      </c>
      <c r="C3" s="98" t="s">
        <v>149</v>
      </c>
      <c r="D3" s="98" t="s">
        <v>150</v>
      </c>
      <c r="E3" s="98" t="s">
        <v>151</v>
      </c>
      <c r="F3" s="99" t="s">
        <v>152</v>
      </c>
    </row>
    <row r="4" spans="2:6" x14ac:dyDescent="0.3">
      <c r="B4" s="85" t="s">
        <v>153</v>
      </c>
      <c r="C4" s="86" t="s">
        <v>154</v>
      </c>
      <c r="D4" s="87">
        <v>39990</v>
      </c>
      <c r="E4" s="87">
        <v>51490</v>
      </c>
      <c r="F4" s="88"/>
    </row>
    <row r="5" spans="2:6" x14ac:dyDescent="0.3">
      <c r="B5" s="85" t="s">
        <v>155</v>
      </c>
      <c r="C5" s="86" t="s">
        <v>156</v>
      </c>
      <c r="D5" s="87">
        <v>48990</v>
      </c>
      <c r="E5" s="87">
        <v>60490</v>
      </c>
      <c r="F5" s="88"/>
    </row>
    <row r="6" spans="2:6" ht="15.6" x14ac:dyDescent="0.3">
      <c r="B6" s="85" t="s">
        <v>157</v>
      </c>
      <c r="C6" s="86" t="s">
        <v>156</v>
      </c>
      <c r="D6" s="87">
        <v>56990</v>
      </c>
      <c r="E6" s="87">
        <v>66990</v>
      </c>
      <c r="F6" s="55"/>
    </row>
    <row r="7" spans="2:6" x14ac:dyDescent="0.3">
      <c r="B7" s="100" t="s">
        <v>158</v>
      </c>
      <c r="C7" s="100"/>
      <c r="D7" s="100"/>
      <c r="E7" s="101"/>
      <c r="F7" s="101">
        <f>AVERAGE(D4:E6)</f>
        <v>54156.666666666664</v>
      </c>
    </row>
    <row r="8" spans="2:6" x14ac:dyDescent="0.3">
      <c r="B8" s="85" t="s">
        <v>159</v>
      </c>
      <c r="C8" s="86" t="s">
        <v>160</v>
      </c>
      <c r="D8" s="87">
        <v>79990</v>
      </c>
      <c r="E8" s="87">
        <v>95490</v>
      </c>
      <c r="F8" s="88"/>
    </row>
    <row r="9" spans="2:6" x14ac:dyDescent="0.3">
      <c r="B9" s="85" t="s">
        <v>161</v>
      </c>
      <c r="C9" s="86" t="s">
        <v>162</v>
      </c>
      <c r="D9" s="87">
        <v>99990</v>
      </c>
      <c r="E9" s="87">
        <v>115990</v>
      </c>
      <c r="F9" s="88"/>
    </row>
    <row r="10" spans="2:6" x14ac:dyDescent="0.3">
      <c r="B10" s="85" t="s">
        <v>163</v>
      </c>
      <c r="C10" s="86" t="s">
        <v>164</v>
      </c>
      <c r="D10" s="87">
        <v>84990</v>
      </c>
      <c r="E10" s="87">
        <v>106490</v>
      </c>
      <c r="F10" s="88"/>
    </row>
    <row r="11" spans="2:6" ht="15.6" x14ac:dyDescent="0.3">
      <c r="B11" s="85" t="s">
        <v>165</v>
      </c>
      <c r="C11" s="86" t="s">
        <v>166</v>
      </c>
      <c r="D11" s="87">
        <v>104990</v>
      </c>
      <c r="E11" s="87">
        <v>128490</v>
      </c>
      <c r="F11" s="55"/>
    </row>
    <row r="12" spans="2:6" x14ac:dyDescent="0.3">
      <c r="B12" s="100" t="s">
        <v>167</v>
      </c>
      <c r="C12" s="100"/>
      <c r="D12" s="100"/>
      <c r="E12" s="101"/>
      <c r="F12" s="101">
        <f>AVERAGE(D8:E11)</f>
        <v>102052.5</v>
      </c>
    </row>
    <row r="14" spans="2:6" ht="32.4" x14ac:dyDescent="0.3">
      <c r="B14" s="97" t="s">
        <v>168</v>
      </c>
      <c r="C14" s="102" t="s">
        <v>150</v>
      </c>
      <c r="D14" s="102" t="s">
        <v>169</v>
      </c>
      <c r="E14" s="103"/>
      <c r="F14" s="104"/>
    </row>
    <row r="15" spans="2:6" x14ac:dyDescent="0.3">
      <c r="B15" s="85" t="s">
        <v>170</v>
      </c>
      <c r="C15" s="89">
        <v>39900</v>
      </c>
      <c r="D15" s="89">
        <v>76900</v>
      </c>
      <c r="E15" s="90"/>
      <c r="F15" s="91">
        <f>AVERAGE(C15:D15)</f>
        <v>58400</v>
      </c>
    </row>
    <row r="16" spans="2:6" x14ac:dyDescent="0.3">
      <c r="B16" s="85" t="s">
        <v>171</v>
      </c>
      <c r="C16" s="89">
        <v>48000</v>
      </c>
      <c r="D16" s="89">
        <v>74000</v>
      </c>
      <c r="E16" s="90"/>
      <c r="F16" s="91">
        <f t="shared" ref="F16:F18" si="0">AVERAGE(C16:D16)</f>
        <v>61000</v>
      </c>
    </row>
    <row r="17" spans="2:7" x14ac:dyDescent="0.3">
      <c r="B17" s="85" t="s">
        <v>172</v>
      </c>
      <c r="C17" s="89">
        <v>200000</v>
      </c>
      <c r="D17" s="89">
        <v>250000</v>
      </c>
      <c r="E17" s="90"/>
      <c r="F17" s="91">
        <f t="shared" si="0"/>
        <v>225000</v>
      </c>
    </row>
    <row r="18" spans="2:7" x14ac:dyDescent="0.3">
      <c r="B18" s="85" t="s">
        <v>173</v>
      </c>
      <c r="C18" s="89">
        <v>150000</v>
      </c>
      <c r="D18" s="89">
        <v>200000</v>
      </c>
      <c r="E18" s="90"/>
      <c r="F18" s="91">
        <f t="shared" si="0"/>
        <v>175000</v>
      </c>
    </row>
    <row r="24" spans="2:7" x14ac:dyDescent="0.3">
      <c r="G24" s="92"/>
    </row>
    <row r="25" spans="2:7" x14ac:dyDescent="0.35">
      <c r="B25" s="93"/>
      <c r="C25" s="48"/>
      <c r="D25" s="48"/>
      <c r="E25" s="48"/>
      <c r="F25" s="6"/>
      <c r="G25" s="92"/>
    </row>
    <row r="26" spans="2:7" x14ac:dyDescent="0.3">
      <c r="C26" s="94"/>
      <c r="D26" s="94"/>
      <c r="E26" s="94"/>
      <c r="F26" s="6"/>
      <c r="G26" s="92"/>
    </row>
    <row r="27" spans="2:7" x14ac:dyDescent="0.3">
      <c r="C27" s="94"/>
      <c r="D27" s="94"/>
      <c r="E27" s="94"/>
      <c r="F27" s="6"/>
      <c r="G27" s="92"/>
    </row>
    <row r="28" spans="2:7" ht="15.6" x14ac:dyDescent="0.3">
      <c r="F28" s="6"/>
    </row>
    <row r="29" spans="2:7" x14ac:dyDescent="0.3">
      <c r="B29" s="95"/>
    </row>
    <row r="30" spans="2:7" x14ac:dyDescent="0.3">
      <c r="B30" s="9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62CD-4436-4D80-AF3D-FF99E1C47708}">
  <dimension ref="A1:R44"/>
  <sheetViews>
    <sheetView workbookViewId="0"/>
  </sheetViews>
  <sheetFormatPr defaultColWidth="9.109375" defaultRowHeight="15.6" x14ac:dyDescent="0.3"/>
  <cols>
    <col min="1" max="1" width="3.5546875" style="6" customWidth="1"/>
    <col min="2" max="2" width="30.21875" style="6" customWidth="1"/>
    <col min="3" max="3" width="10.6640625" style="6" customWidth="1"/>
    <col min="4" max="4" width="11.44140625" style="6" customWidth="1"/>
    <col min="5" max="5" width="11" style="6" customWidth="1"/>
    <col min="6" max="7" width="14.5546875" style="6" bestFit="1" customWidth="1"/>
    <col min="8" max="12" width="9.6640625" style="6" customWidth="1"/>
    <col min="13" max="17" width="11.21875" style="6" bestFit="1" customWidth="1"/>
    <col min="18" max="18" width="15.109375" style="6" customWidth="1"/>
    <col min="19" max="16384" width="9.109375" style="6"/>
  </cols>
  <sheetData>
    <row r="1" spans="1:18" ht="21" x14ac:dyDescent="0.3">
      <c r="A1" s="55"/>
      <c r="B1" s="16" t="s">
        <v>349</v>
      </c>
      <c r="F1" s="51"/>
      <c r="G1" s="51"/>
      <c r="R1" s="6" t="s">
        <v>174</v>
      </c>
    </row>
    <row r="2" spans="1:18" ht="16.2" x14ac:dyDescent="0.3">
      <c r="A2" s="55"/>
      <c r="B2" s="4"/>
      <c r="C2" s="20"/>
      <c r="D2" s="20"/>
      <c r="E2" s="20"/>
      <c r="F2" s="20"/>
      <c r="G2" s="20"/>
    </row>
    <row r="3" spans="1:18" ht="16.2" x14ac:dyDescent="0.3">
      <c r="B3" s="265" t="s">
        <v>175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</row>
    <row r="4" spans="1:18" ht="32.4" x14ac:dyDescent="0.35">
      <c r="B4" s="56" t="s">
        <v>103</v>
      </c>
      <c r="C4" s="19" t="s">
        <v>17</v>
      </c>
      <c r="D4" s="19" t="s">
        <v>18</v>
      </c>
      <c r="E4" s="19" t="s">
        <v>19</v>
      </c>
      <c r="F4" s="19" t="s">
        <v>20</v>
      </c>
      <c r="G4" s="19" t="s">
        <v>21</v>
      </c>
      <c r="H4" s="57" t="s">
        <v>104</v>
      </c>
      <c r="I4" s="57" t="s">
        <v>105</v>
      </c>
      <c r="J4" s="57" t="s">
        <v>106</v>
      </c>
      <c r="K4" s="57" t="s">
        <v>107</v>
      </c>
      <c r="L4" s="57" t="s">
        <v>108</v>
      </c>
      <c r="M4" s="57" t="s">
        <v>109</v>
      </c>
      <c r="N4" s="57" t="s">
        <v>110</v>
      </c>
      <c r="O4" s="57" t="s">
        <v>111</v>
      </c>
      <c r="P4" s="57" t="s">
        <v>112</v>
      </c>
      <c r="Q4" s="57" t="s">
        <v>113</v>
      </c>
      <c r="R4" s="44" t="s">
        <v>176</v>
      </c>
    </row>
    <row r="5" spans="1:18" x14ac:dyDescent="0.3">
      <c r="B5" s="6" t="s">
        <v>114</v>
      </c>
      <c r="C5" s="51"/>
      <c r="D5" s="51"/>
      <c r="E5" s="51">
        <v>88.268788561549911</v>
      </c>
      <c r="F5" s="51">
        <v>8136.4830442748871</v>
      </c>
      <c r="G5" s="51">
        <v>14705.599268864924</v>
      </c>
      <c r="H5" s="84">
        <f>($R5*'Tesla Automotive Deliveries'!H5)*H14/1000000</f>
        <v>26587.1366992</v>
      </c>
      <c r="I5" s="84">
        <f>($R$5*'Tesla Automotive Deliveries'!I5)*I14/1000000</f>
        <v>29245.850369120002</v>
      </c>
      <c r="J5" s="84">
        <f>($R$5*'Tesla Automotive Deliveries'!J5)*J14/1000000</f>
        <v>32170.435406032004</v>
      </c>
      <c r="K5" s="84">
        <f>($R$5*'Tesla Automotive Deliveries'!K5)*K14/1000000</f>
        <v>34744.070238514563</v>
      </c>
      <c r="L5" s="84">
        <f>($R$5*'Tesla Automotive Deliveries'!L5)*L14/1000000</f>
        <v>37523.595857595734</v>
      </c>
      <c r="M5" s="84">
        <f>($R$5*'Tesla Automotive Deliveries'!M5)*M14/1000000</f>
        <v>39024.539691899576</v>
      </c>
      <c r="N5" s="84">
        <f>($R$5*'Tesla Automotive Deliveries'!N5)*N14/1000000</f>
        <v>40585.521279575543</v>
      </c>
      <c r="O5" s="84">
        <f>($R$5*'Tesla Automotive Deliveries'!O5)*O14/1000000</f>
        <v>42208.942130758573</v>
      </c>
      <c r="P5" s="84">
        <f>($R$5*'Tesla Automotive Deliveries'!P5)*P14/1000000</f>
        <v>43897.299815988925</v>
      </c>
      <c r="Q5" s="84">
        <f>($R$5*'Tesla Automotive Deliveries'!Q5)*Q14/1000000</f>
        <v>45653.191808628479</v>
      </c>
      <c r="R5" s="81">
        <f>AVERAGE('Average Automotive Model Prices'!$F$7)</f>
        <v>54156.666666666664</v>
      </c>
    </row>
    <row r="6" spans="1:18" x14ac:dyDescent="0.3">
      <c r="B6" s="6" t="s">
        <v>115</v>
      </c>
      <c r="C6" s="51">
        <v>3740.973</v>
      </c>
      <c r="D6" s="51">
        <v>6350.7659999999996</v>
      </c>
      <c r="E6" s="51">
        <v>9553.0312114384506</v>
      </c>
      <c r="F6" s="51">
        <v>10378.49995572511</v>
      </c>
      <c r="G6" s="51">
        <v>6115.4007311350751</v>
      </c>
      <c r="H6" s="84">
        <f>($R6*'Tesla Automotive Deliveries'!H6)*H15/1000000</f>
        <v>7186.6603294200013</v>
      </c>
      <c r="I6" s="84">
        <f>($R6*'Tesla Automotive Deliveries'!I6)*I15/1000000</f>
        <v>7474.1267425968017</v>
      </c>
      <c r="J6" s="84">
        <f>($R6*'Tesla Automotive Deliveries'!J6)*J15/1000000</f>
        <v>7773.0918123006732</v>
      </c>
      <c r="K6" s="84">
        <f>($R6*'Tesla Automotive Deliveries'!K6)*K15/1000000</f>
        <v>8084.0154847927015</v>
      </c>
      <c r="L6" s="84">
        <f>($R6*'Tesla Automotive Deliveries'!L6)*L15/1000000</f>
        <v>8407.37610418441</v>
      </c>
      <c r="M6" s="84">
        <f>($R6*'Tesla Automotive Deliveries'!M6)*M15/1000000</f>
        <v>8743.6711483517865</v>
      </c>
      <c r="N6" s="84">
        <f>($R6*'Tesla Automotive Deliveries'!N6)*N15/1000000</f>
        <v>9093.4179942858573</v>
      </c>
      <c r="O6" s="84">
        <f>($R6*'Tesla Automotive Deliveries'!O6)*O15/1000000</f>
        <v>9457.1547140572929</v>
      </c>
      <c r="P6" s="84">
        <f>($R6*'Tesla Automotive Deliveries'!P6)*P15/1000000</f>
        <v>9835.4409026195844</v>
      </c>
      <c r="Q6" s="84">
        <f>($R6*'Tesla Automotive Deliveries'!Q6)*Q15/1000000</f>
        <v>10228.858538724369</v>
      </c>
      <c r="R6" s="81">
        <f>AVERAGE('Average Automotive Model Prices'!$F$12)</f>
        <v>102052.5</v>
      </c>
    </row>
    <row r="7" spans="1:18" x14ac:dyDescent="0.3">
      <c r="B7" s="6" t="s">
        <v>116</v>
      </c>
      <c r="C7" s="51">
        <f>($R7*'Tesla Automotive Deliveries'!C7)*C16/1000000</f>
        <v>0</v>
      </c>
      <c r="D7" s="51">
        <f>($R7*'Tesla Automotive Deliveries'!D7)*D16/1000000</f>
        <v>0</v>
      </c>
      <c r="E7" s="51">
        <f>($R7*'Tesla Automotive Deliveries'!E7)*E16/1000000</f>
        <v>0</v>
      </c>
      <c r="F7" s="51">
        <f>($R7*'Tesla Automotive Deliveries'!F7)*F16/1000000</f>
        <v>0</v>
      </c>
      <c r="G7" s="51">
        <f>($R7*'Tesla Automotive Deliveries'!G7)*G16/1000000</f>
        <v>0</v>
      </c>
      <c r="H7" s="84">
        <f>($R7*'Tesla Automotive Deliveries'!H7)*H16/1000000</f>
        <v>109.75608</v>
      </c>
      <c r="I7" s="84">
        <f>($R7*'Tesla Automotive Deliveries'!I7)*I16/1000000</f>
        <v>9087.5421000000006</v>
      </c>
      <c r="J7" s="84">
        <f>($R7*'Tesla Automotive Deliveries'!J7)*J16/1000000</f>
        <v>18716.709299999999</v>
      </c>
      <c r="K7" s="84">
        <f>($R7*'Tesla Automotive Deliveries'!K7)*K16/1000000</f>
        <v>29946.73488</v>
      </c>
      <c r="L7" s="84">
        <f>($R7*'Tesla Automotive Deliveries'!L7)*L16/1000000</f>
        <v>32941.408367999997</v>
      </c>
      <c r="M7" s="84">
        <f>($R7*'Tesla Automotive Deliveries'!M7)*M16/1000000</f>
        <v>36235.549204800009</v>
      </c>
      <c r="N7" s="84">
        <f>($R7*'Tesla Automotive Deliveries'!N7)*N16/1000000</f>
        <v>39134.393141184017</v>
      </c>
      <c r="O7" s="84">
        <f>($R7*'Tesla Automotive Deliveries'!O7)*O16/1000000</f>
        <v>42265.144592478726</v>
      </c>
      <c r="P7" s="84">
        <f>($R7*'Tesla Automotive Deliveries'!P7)*P16/1000000</f>
        <v>43955.750376177886</v>
      </c>
      <c r="Q7" s="84">
        <f>($R7*'Tesla Automotive Deliveries'!Q7)*Q16/1000000</f>
        <v>45713.980391225006</v>
      </c>
      <c r="R7" s="81">
        <f>AVERAGE('Average Automotive Model Prices'!$F$16)</f>
        <v>61000</v>
      </c>
    </row>
    <row r="8" spans="1:18" x14ac:dyDescent="0.3">
      <c r="B8" s="6" t="s">
        <v>117</v>
      </c>
      <c r="C8" s="51">
        <f>($R8*'Tesla Automotive Deliveries'!C8)*C17/1000000</f>
        <v>0</v>
      </c>
      <c r="D8" s="51">
        <f>($R8*'Tesla Automotive Deliveries'!D8)*D17/1000000</f>
        <v>0</v>
      </c>
      <c r="E8" s="51">
        <f>($R8*'Tesla Automotive Deliveries'!E8)*E17/1000000</f>
        <v>0</v>
      </c>
      <c r="F8" s="51">
        <f>($R8*'Tesla Automotive Deliveries'!F8)*F17/1000000</f>
        <v>0</v>
      </c>
      <c r="G8" s="51">
        <f>($R8*'Tesla Automotive Deliveries'!G8)*G17/1000000</f>
        <v>0</v>
      </c>
      <c r="H8" s="84" t="s">
        <v>136</v>
      </c>
      <c r="I8" s="84" t="s">
        <v>136</v>
      </c>
      <c r="J8" s="84">
        <f>($R8*'Tesla Automotive Deliveries'!J8)*J17/1000000</f>
        <v>114.75</v>
      </c>
      <c r="K8" s="84">
        <f>($R8*'Tesla Automotive Deliveries'!K8)*K17/1000000</f>
        <v>229.5</v>
      </c>
      <c r="L8" s="84">
        <f>($R8*'Tesla Automotive Deliveries'!L8)*L17/1000000</f>
        <v>344.25</v>
      </c>
      <c r="M8" s="84">
        <f>($R8*'Tesla Automotive Deliveries'!M8)*M17/1000000</f>
        <v>378.67500000000007</v>
      </c>
      <c r="N8" s="84">
        <f>($R8*'Tesla Automotive Deliveries'!N8)*N17/1000000</f>
        <v>416.54250000000013</v>
      </c>
      <c r="O8" s="84">
        <f>($R8*'Tesla Automotive Deliveries'!O8)*O17/1000000</f>
        <v>449.86590000000018</v>
      </c>
      <c r="P8" s="84">
        <f>($R8*'Tesla Automotive Deliveries'!P8)*P17/1000000</f>
        <v>485.85517200000027</v>
      </c>
      <c r="Q8" s="84">
        <f>($R8*'Tesla Automotive Deliveries'!Q8)*Q17/1000000</f>
        <v>505.28937888000024</v>
      </c>
      <c r="R8" s="81">
        <f>AVERAGE('Average Automotive Model Prices'!$F$17)</f>
        <v>225000</v>
      </c>
    </row>
    <row r="9" spans="1:18" x14ac:dyDescent="0.3">
      <c r="B9" s="6" t="s">
        <v>118</v>
      </c>
      <c r="C9" s="51">
        <f>($R9*'Tesla Automotive Deliveries'!C9)*C18/1000000</f>
        <v>0</v>
      </c>
      <c r="D9" s="51">
        <f>($R9*'Tesla Automotive Deliveries'!D9)*D18/1000000</f>
        <v>0</v>
      </c>
      <c r="E9" s="51">
        <f>($R9*'Tesla Automotive Deliveries'!E9)*E18/1000000</f>
        <v>0</v>
      </c>
      <c r="F9" s="51">
        <f>($R9*'Tesla Automotive Deliveries'!F9)*F18/1000000</f>
        <v>0</v>
      </c>
      <c r="G9" s="51">
        <f>($R9*'Tesla Automotive Deliveries'!G9)*G18/1000000</f>
        <v>0</v>
      </c>
      <c r="H9" s="84" t="s">
        <v>136</v>
      </c>
      <c r="I9" s="84">
        <f>($R9*'Tesla Automotive Deliveries'!I9)*I18/1000000</f>
        <v>14.891999999999999</v>
      </c>
      <c r="J9" s="84">
        <f>($R9*'Tesla Automotive Deliveries'!J9)*J18/1000000</f>
        <v>1233.0221428571429</v>
      </c>
      <c r="K9" s="84">
        <f>($R9*'Tesla Automotive Deliveries'!K9)*K18/1000000</f>
        <v>2539.5334353741505</v>
      </c>
      <c r="L9" s="84">
        <f>($R9*'Tesla Automotive Deliveries'!L9)*L18/1000000</f>
        <v>4063.2534965986406</v>
      </c>
      <c r="M9" s="84">
        <f>($R9*'Tesla Automotive Deliveries'!M9)*M18/1000000</f>
        <v>4469.5788462585051</v>
      </c>
      <c r="N9" s="84">
        <f>($R9*'Tesla Automotive Deliveries'!N9)*N18/1000000</f>
        <v>4916.5367308843552</v>
      </c>
      <c r="O9" s="84">
        <f>($R9*'Tesla Automotive Deliveries'!O9)*O18/1000000</f>
        <v>5309.8596693551053</v>
      </c>
      <c r="P9" s="84">
        <f>($R9*'Tesla Automotive Deliveries'!P9)*P18/1000000</f>
        <v>5734.6484429035136</v>
      </c>
      <c r="Q9" s="84">
        <f>($R9*'Tesla Automotive Deliveries'!Q9)*Q18/1000000</f>
        <v>5964.0343806196543</v>
      </c>
      <c r="R9" s="81">
        <f>AVERAGE('Average Automotive Model Prices'!$F$15)</f>
        <v>58400</v>
      </c>
    </row>
    <row r="10" spans="1:18" x14ac:dyDescent="0.3">
      <c r="B10" s="6" t="s">
        <v>119</v>
      </c>
      <c r="C10" s="51">
        <f>($R10*'Tesla Automotive Deliveries'!C10)*C19/1000000</f>
        <v>0</v>
      </c>
      <c r="D10" s="51">
        <f>($R10*'Tesla Automotive Deliveries'!D10)*D19/1000000</f>
        <v>0</v>
      </c>
      <c r="E10" s="51">
        <f>($R10*'Tesla Automotive Deliveries'!E10)*E19/1000000</f>
        <v>0</v>
      </c>
      <c r="F10" s="51">
        <f>($R10*'Tesla Automotive Deliveries'!F10)*F19/1000000</f>
        <v>0</v>
      </c>
      <c r="G10" s="51">
        <f>($R10*'Tesla Automotive Deliveries'!G10)*G19/1000000</f>
        <v>0</v>
      </c>
      <c r="H10" s="84" t="s">
        <v>136</v>
      </c>
      <c r="I10" s="84">
        <f>($R10*'Tesla Automotive Deliveries'!I10)*I19/1000000</f>
        <v>44.625</v>
      </c>
      <c r="J10" s="84">
        <f>($R10*'Tesla Automotive Deliveries'!J10)*J19/1000000</f>
        <v>3694.84375</v>
      </c>
      <c r="K10" s="84">
        <f>($R10*'Tesla Automotive Deliveries'!K10)*K19/1000000</f>
        <v>7609.9032738095257</v>
      </c>
      <c r="L10" s="84">
        <f>($R10*'Tesla Automotive Deliveries'!L10)*L19/1000000</f>
        <v>12175.845238095242</v>
      </c>
      <c r="M10" s="84">
        <f>($R10*'Tesla Automotive Deliveries'!M10)*M19/1000000</f>
        <v>13393.429761904767</v>
      </c>
      <c r="N10" s="84">
        <f>($R10*'Tesla Automotive Deliveries'!N10)*N19/1000000</f>
        <v>14732.772738095246</v>
      </c>
      <c r="O10" s="84">
        <f>($R10*'Tesla Automotive Deliveries'!O10)*O19/1000000</f>
        <v>15911.394557142865</v>
      </c>
      <c r="P10" s="84">
        <f>($R10*'Tesla Automotive Deliveries'!P10)*P19/1000000</f>
        <v>17184.306121714297</v>
      </c>
      <c r="Q10" s="84">
        <f>($R10*'Tesla Automotive Deliveries'!Q10)*Q19/1000000</f>
        <v>17871.67836658287</v>
      </c>
      <c r="R10" s="81">
        <f>AVERAGE('Average Automotive Model Prices'!$F$18)</f>
        <v>175000</v>
      </c>
    </row>
    <row r="11" spans="1:18" ht="16.8" thickBot="1" x14ac:dyDescent="0.4">
      <c r="B11" s="60" t="s">
        <v>120</v>
      </c>
      <c r="C11" s="61">
        <f>SUM(C5:C10)</f>
        <v>3740.973</v>
      </c>
      <c r="D11" s="61">
        <f t="shared" ref="D11:G11" si="0">SUM(D5:D10)</f>
        <v>6350.7659999999996</v>
      </c>
      <c r="E11" s="61">
        <f t="shared" si="0"/>
        <v>9641.3000000000011</v>
      </c>
      <c r="F11" s="61">
        <f t="shared" si="0"/>
        <v>18514.982999999997</v>
      </c>
      <c r="G11" s="61">
        <f t="shared" si="0"/>
        <v>20821</v>
      </c>
      <c r="H11" s="61">
        <f t="shared" ref="H11" si="1">SUM(H5:H10)</f>
        <v>33883.553108619999</v>
      </c>
      <c r="I11" s="61">
        <f t="shared" ref="I11" si="2">SUM(I5:I10)</f>
        <v>45867.036211716804</v>
      </c>
      <c r="J11" s="61">
        <f t="shared" ref="J11" si="3">SUM(J5:J10)</f>
        <v>63702.852411189822</v>
      </c>
      <c r="K11" s="61">
        <f t="shared" ref="K11" si="4">SUM(K5:K10)</f>
        <v>83153.75731249094</v>
      </c>
      <c r="L11" s="61">
        <f t="shared" ref="L11" si="5">SUM(L5:L10)</f>
        <v>95455.729064474013</v>
      </c>
      <c r="M11" s="61">
        <f t="shared" ref="M11" si="6">SUM(M5:M10)</f>
        <v>102245.44365321465</v>
      </c>
      <c r="N11" s="61">
        <f t="shared" ref="N11" si="7">SUM(N5:N10)</f>
        <v>108879.18438402501</v>
      </c>
      <c r="O11" s="61">
        <f t="shared" ref="O11" si="8">SUM(O5:O10)</f>
        <v>115602.36156379257</v>
      </c>
      <c r="P11" s="61">
        <f t="shared" ref="P11" si="9">SUM(P5:P10)</f>
        <v>121093.30083140421</v>
      </c>
      <c r="Q11" s="61">
        <f t="shared" ref="Q11" si="10">SUM(Q5:Q10)</f>
        <v>125937.03286466037</v>
      </c>
      <c r="R11" s="82"/>
    </row>
    <row r="13" spans="1:18" ht="16.2" x14ac:dyDescent="0.3">
      <c r="B13" s="7" t="s">
        <v>2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</row>
    <row r="14" spans="1:18" x14ac:dyDescent="0.3">
      <c r="B14" s="63" t="s">
        <v>114</v>
      </c>
      <c r="C14" s="64"/>
      <c r="D14" s="64"/>
      <c r="E14" s="64"/>
      <c r="F14" s="64"/>
      <c r="G14" s="63"/>
      <c r="H14" s="67">
        <f>CHOOSE(Drivers!$C$3,'Tesla Revenue Automotive'!H22,'Tesla Revenue Automotive'!H30,'Tesla Revenue Automotive'!H38)</f>
        <v>1.02</v>
      </c>
      <c r="I14" s="67">
        <f>CHOOSE(Drivers!$C$3,'Tesla Revenue Automotive'!I22,'Tesla Revenue Automotive'!I30,'Tesla Revenue Automotive'!I38)</f>
        <v>1.02</v>
      </c>
      <c r="J14" s="67">
        <f>CHOOSE(Drivers!$C$3,'Tesla Revenue Automotive'!J22,'Tesla Revenue Automotive'!J30,'Tesla Revenue Automotive'!J38)</f>
        <v>1.02</v>
      </c>
      <c r="K14" s="67">
        <f>CHOOSE(Drivers!$C$3,'Tesla Revenue Automotive'!K22,'Tesla Revenue Automotive'!K30,'Tesla Revenue Automotive'!K38)</f>
        <v>1.02</v>
      </c>
      <c r="L14" s="67">
        <f>CHOOSE(Drivers!$C$3,'Tesla Revenue Automotive'!L22,'Tesla Revenue Automotive'!L30,'Tesla Revenue Automotive'!L38)</f>
        <v>1.02</v>
      </c>
      <c r="M14" s="67">
        <f>CHOOSE(Drivers!$C$3,'Tesla Revenue Automotive'!M22,'Tesla Revenue Automotive'!M30,'Tesla Revenue Automotive'!M38)</f>
        <v>1.02</v>
      </c>
      <c r="N14" s="67">
        <f>CHOOSE(Drivers!$C$3,'Tesla Revenue Automotive'!N22,'Tesla Revenue Automotive'!N30,'Tesla Revenue Automotive'!N38)</f>
        <v>1.02</v>
      </c>
      <c r="O14" s="67">
        <f>CHOOSE(Drivers!$C$3,'Tesla Revenue Automotive'!O22,'Tesla Revenue Automotive'!O30,'Tesla Revenue Automotive'!O38)</f>
        <v>1.02</v>
      </c>
      <c r="P14" s="67">
        <f>CHOOSE(Drivers!$C$3,'Tesla Revenue Automotive'!P22,'Tesla Revenue Automotive'!P30,'Tesla Revenue Automotive'!P38)</f>
        <v>1.02</v>
      </c>
      <c r="Q14" s="67">
        <f>CHOOSE(Drivers!$C$3,'Tesla Revenue Automotive'!Q22,'Tesla Revenue Automotive'!Q30,'Tesla Revenue Automotive'!Q38)</f>
        <v>1.02</v>
      </c>
    </row>
    <row r="15" spans="1:18" x14ac:dyDescent="0.3">
      <c r="B15" s="63" t="s">
        <v>115</v>
      </c>
      <c r="C15" s="64"/>
      <c r="D15" s="65"/>
      <c r="E15" s="65"/>
      <c r="F15" s="65"/>
      <c r="G15" s="63"/>
      <c r="H15" s="67">
        <f>CHOOSE(Drivers!$C$3,'Tesla Revenue Automotive'!H23,'Tesla Revenue Automotive'!H31,'Tesla Revenue Automotive'!H39)</f>
        <v>1.02</v>
      </c>
      <c r="I15" s="67">
        <f>CHOOSE(Drivers!$C$3,'Tesla Revenue Automotive'!I23,'Tesla Revenue Automotive'!I31,'Tesla Revenue Automotive'!I39)</f>
        <v>1.02</v>
      </c>
      <c r="J15" s="67">
        <f>CHOOSE(Drivers!$C$3,'Tesla Revenue Automotive'!J23,'Tesla Revenue Automotive'!J31,'Tesla Revenue Automotive'!J39)</f>
        <v>1.02</v>
      </c>
      <c r="K15" s="67">
        <f>CHOOSE(Drivers!$C$3,'Tesla Revenue Automotive'!K23,'Tesla Revenue Automotive'!K31,'Tesla Revenue Automotive'!K39)</f>
        <v>1.02</v>
      </c>
      <c r="L15" s="67">
        <f>CHOOSE(Drivers!$C$3,'Tesla Revenue Automotive'!L23,'Tesla Revenue Automotive'!L31,'Tesla Revenue Automotive'!L39)</f>
        <v>1.02</v>
      </c>
      <c r="M15" s="67">
        <f>CHOOSE(Drivers!$C$3,'Tesla Revenue Automotive'!M23,'Tesla Revenue Automotive'!M31,'Tesla Revenue Automotive'!M39)</f>
        <v>1.02</v>
      </c>
      <c r="N15" s="67">
        <f>CHOOSE(Drivers!$C$3,'Tesla Revenue Automotive'!N23,'Tesla Revenue Automotive'!N31,'Tesla Revenue Automotive'!N39)</f>
        <v>1.02</v>
      </c>
      <c r="O15" s="67">
        <f>CHOOSE(Drivers!$C$3,'Tesla Revenue Automotive'!O23,'Tesla Revenue Automotive'!O31,'Tesla Revenue Automotive'!O39)</f>
        <v>1.02</v>
      </c>
      <c r="P15" s="67">
        <f>CHOOSE(Drivers!$C$3,'Tesla Revenue Automotive'!P23,'Tesla Revenue Automotive'!P31,'Tesla Revenue Automotive'!P39)</f>
        <v>1.02</v>
      </c>
      <c r="Q15" s="67">
        <f>CHOOSE(Drivers!$C$3,'Tesla Revenue Automotive'!Q23,'Tesla Revenue Automotive'!Q31,'Tesla Revenue Automotive'!Q39)</f>
        <v>1.02</v>
      </c>
    </row>
    <row r="16" spans="1:18" x14ac:dyDescent="0.3">
      <c r="B16" s="63" t="s">
        <v>116</v>
      </c>
      <c r="C16" s="64"/>
      <c r="D16" s="64"/>
      <c r="E16" s="64"/>
      <c r="F16" s="64"/>
      <c r="G16" s="63"/>
      <c r="H16" s="67">
        <f>CHOOSE(Drivers!$C$3,'Tesla Revenue Automotive'!H24,'Tesla Revenue Automotive'!H32,'Tesla Revenue Automotive'!H40)</f>
        <v>1.02</v>
      </c>
      <c r="I16" s="67">
        <f>CHOOSE(Drivers!$C$3,'Tesla Revenue Automotive'!I24,'Tesla Revenue Automotive'!I32,'Tesla Revenue Automotive'!I40)</f>
        <v>1.02</v>
      </c>
      <c r="J16" s="67">
        <f>CHOOSE(Drivers!$C$3,'Tesla Revenue Automotive'!J24,'Tesla Revenue Automotive'!J32,'Tesla Revenue Automotive'!J40)</f>
        <v>1.02</v>
      </c>
      <c r="K16" s="67">
        <f>CHOOSE(Drivers!$C$3,'Tesla Revenue Automotive'!K24,'Tesla Revenue Automotive'!K32,'Tesla Revenue Automotive'!K40)</f>
        <v>1.02</v>
      </c>
      <c r="L16" s="67">
        <f>CHOOSE(Drivers!$C$3,'Tesla Revenue Automotive'!L24,'Tesla Revenue Automotive'!L32,'Tesla Revenue Automotive'!L40)</f>
        <v>1.02</v>
      </c>
      <c r="M16" s="67">
        <f>CHOOSE(Drivers!$C$3,'Tesla Revenue Automotive'!M24,'Tesla Revenue Automotive'!M32,'Tesla Revenue Automotive'!M40)</f>
        <v>1.02</v>
      </c>
      <c r="N16" s="67">
        <f>CHOOSE(Drivers!$C$3,'Tesla Revenue Automotive'!N24,'Tesla Revenue Automotive'!N32,'Tesla Revenue Automotive'!N40)</f>
        <v>1.02</v>
      </c>
      <c r="O16" s="67">
        <f>CHOOSE(Drivers!$C$3,'Tesla Revenue Automotive'!O24,'Tesla Revenue Automotive'!O32,'Tesla Revenue Automotive'!O40)</f>
        <v>1.02</v>
      </c>
      <c r="P16" s="67">
        <f>CHOOSE(Drivers!$C$3,'Tesla Revenue Automotive'!P24,'Tesla Revenue Automotive'!P32,'Tesla Revenue Automotive'!P40)</f>
        <v>1.02</v>
      </c>
      <c r="Q16" s="67">
        <f>CHOOSE(Drivers!$C$3,'Tesla Revenue Automotive'!Q24,'Tesla Revenue Automotive'!Q32,'Tesla Revenue Automotive'!Q40)</f>
        <v>1.02</v>
      </c>
    </row>
    <row r="17" spans="2:18" x14ac:dyDescent="0.3">
      <c r="B17" s="63" t="s">
        <v>117</v>
      </c>
      <c r="C17" s="64"/>
      <c r="D17" s="64"/>
      <c r="E17" s="64"/>
      <c r="F17" s="64"/>
      <c r="G17" s="63"/>
      <c r="H17" s="67">
        <f>CHOOSE(Drivers!$C$3,'Tesla Revenue Automotive'!H25,'Tesla Revenue Automotive'!H33,'Tesla Revenue Automotive'!H41)</f>
        <v>1.02</v>
      </c>
      <c r="I17" s="67">
        <f>CHOOSE(Drivers!$C$3,'Tesla Revenue Automotive'!I25,'Tesla Revenue Automotive'!I33,'Tesla Revenue Automotive'!I41)</f>
        <v>1.02</v>
      </c>
      <c r="J17" s="67">
        <f>CHOOSE(Drivers!$C$3,'Tesla Revenue Automotive'!J25,'Tesla Revenue Automotive'!J33,'Tesla Revenue Automotive'!J41)</f>
        <v>1.02</v>
      </c>
      <c r="K17" s="67">
        <f>CHOOSE(Drivers!$C$3,'Tesla Revenue Automotive'!K25,'Tesla Revenue Automotive'!K33,'Tesla Revenue Automotive'!K41)</f>
        <v>1.02</v>
      </c>
      <c r="L17" s="67">
        <f>CHOOSE(Drivers!$C$3,'Tesla Revenue Automotive'!L25,'Tesla Revenue Automotive'!L33,'Tesla Revenue Automotive'!L41)</f>
        <v>1.02</v>
      </c>
      <c r="M17" s="67">
        <f>CHOOSE(Drivers!$C$3,'Tesla Revenue Automotive'!M25,'Tesla Revenue Automotive'!M33,'Tesla Revenue Automotive'!M41)</f>
        <v>1.02</v>
      </c>
      <c r="N17" s="67">
        <f>CHOOSE(Drivers!$C$3,'Tesla Revenue Automotive'!N25,'Tesla Revenue Automotive'!N33,'Tesla Revenue Automotive'!N41)</f>
        <v>1.02</v>
      </c>
      <c r="O17" s="67">
        <f>CHOOSE(Drivers!$C$3,'Tesla Revenue Automotive'!O25,'Tesla Revenue Automotive'!O33,'Tesla Revenue Automotive'!O41)</f>
        <v>1.02</v>
      </c>
      <c r="P17" s="67">
        <f>CHOOSE(Drivers!$C$3,'Tesla Revenue Automotive'!P25,'Tesla Revenue Automotive'!P33,'Tesla Revenue Automotive'!P41)</f>
        <v>1.02</v>
      </c>
      <c r="Q17" s="67">
        <f>CHOOSE(Drivers!$C$3,'Tesla Revenue Automotive'!Q25,'Tesla Revenue Automotive'!Q33,'Tesla Revenue Automotive'!Q41)</f>
        <v>1.02</v>
      </c>
      <c r="R17" s="51"/>
    </row>
    <row r="18" spans="2:18" x14ac:dyDescent="0.3">
      <c r="B18" s="63" t="s">
        <v>118</v>
      </c>
      <c r="C18" s="64"/>
      <c r="D18" s="64"/>
      <c r="E18" s="64"/>
      <c r="F18" s="64"/>
      <c r="G18" s="63"/>
      <c r="H18" s="67">
        <f>CHOOSE(Drivers!$C$3,'Tesla Revenue Automotive'!H26,'Tesla Revenue Automotive'!H34,'Tesla Revenue Automotive'!H42)</f>
        <v>1.02</v>
      </c>
      <c r="I18" s="67">
        <f>CHOOSE(Drivers!$C$3,'Tesla Revenue Automotive'!I26,'Tesla Revenue Automotive'!I34,'Tesla Revenue Automotive'!I42)</f>
        <v>1.02</v>
      </c>
      <c r="J18" s="67">
        <f>CHOOSE(Drivers!$C$3,'Tesla Revenue Automotive'!J26,'Tesla Revenue Automotive'!J34,'Tesla Revenue Automotive'!J42)</f>
        <v>1.02</v>
      </c>
      <c r="K18" s="67">
        <f>CHOOSE(Drivers!$C$3,'Tesla Revenue Automotive'!K26,'Tesla Revenue Automotive'!K34,'Tesla Revenue Automotive'!K42)</f>
        <v>1.02</v>
      </c>
      <c r="L18" s="67">
        <f>CHOOSE(Drivers!$C$3,'Tesla Revenue Automotive'!L26,'Tesla Revenue Automotive'!L34,'Tesla Revenue Automotive'!L42)</f>
        <v>1.02</v>
      </c>
      <c r="M18" s="67">
        <f>CHOOSE(Drivers!$C$3,'Tesla Revenue Automotive'!M26,'Tesla Revenue Automotive'!M34,'Tesla Revenue Automotive'!M42)</f>
        <v>1.02</v>
      </c>
      <c r="N18" s="67">
        <f>CHOOSE(Drivers!$C$3,'Tesla Revenue Automotive'!N26,'Tesla Revenue Automotive'!N34,'Tesla Revenue Automotive'!N42)</f>
        <v>1.02</v>
      </c>
      <c r="O18" s="67">
        <f>CHOOSE(Drivers!$C$3,'Tesla Revenue Automotive'!O26,'Tesla Revenue Automotive'!O34,'Tesla Revenue Automotive'!O42)</f>
        <v>1.02</v>
      </c>
      <c r="P18" s="67">
        <f>CHOOSE(Drivers!$C$3,'Tesla Revenue Automotive'!P26,'Tesla Revenue Automotive'!P34,'Tesla Revenue Automotive'!P42)</f>
        <v>1.02</v>
      </c>
      <c r="Q18" s="67">
        <f>CHOOSE(Drivers!$C$3,'Tesla Revenue Automotive'!Q26,'Tesla Revenue Automotive'!Q34,'Tesla Revenue Automotive'!Q42)</f>
        <v>1.02</v>
      </c>
    </row>
    <row r="19" spans="2:18" x14ac:dyDescent="0.3">
      <c r="B19" s="63" t="s">
        <v>119</v>
      </c>
      <c r="C19" s="64"/>
      <c r="D19" s="64"/>
      <c r="E19" s="64"/>
      <c r="F19" s="64"/>
      <c r="G19" s="63"/>
      <c r="H19" s="67">
        <f>CHOOSE(Drivers!$C$3,'Tesla Revenue Automotive'!H27,'Tesla Revenue Automotive'!H35,'Tesla Revenue Automotive'!H43)</f>
        <v>1.02</v>
      </c>
      <c r="I19" s="67">
        <f>CHOOSE(Drivers!$C$3,'Tesla Revenue Automotive'!I27,'Tesla Revenue Automotive'!I35,'Tesla Revenue Automotive'!I43)</f>
        <v>1.02</v>
      </c>
      <c r="J19" s="67">
        <f>CHOOSE(Drivers!$C$3,'Tesla Revenue Automotive'!J27,'Tesla Revenue Automotive'!J35,'Tesla Revenue Automotive'!J43)</f>
        <v>1.02</v>
      </c>
      <c r="K19" s="67">
        <f>CHOOSE(Drivers!$C$3,'Tesla Revenue Automotive'!K27,'Tesla Revenue Automotive'!K35,'Tesla Revenue Automotive'!K43)</f>
        <v>1.02</v>
      </c>
      <c r="L19" s="67">
        <f>CHOOSE(Drivers!$C$3,'Tesla Revenue Automotive'!L27,'Tesla Revenue Automotive'!L35,'Tesla Revenue Automotive'!L43)</f>
        <v>1.02</v>
      </c>
      <c r="M19" s="67">
        <f>CHOOSE(Drivers!$C$3,'Tesla Revenue Automotive'!M27,'Tesla Revenue Automotive'!M35,'Tesla Revenue Automotive'!M43)</f>
        <v>1.02</v>
      </c>
      <c r="N19" s="67">
        <f>CHOOSE(Drivers!$C$3,'Tesla Revenue Automotive'!N27,'Tesla Revenue Automotive'!N35,'Tesla Revenue Automotive'!N43)</f>
        <v>1.02</v>
      </c>
      <c r="O19" s="67">
        <f>CHOOSE(Drivers!$C$3,'Tesla Revenue Automotive'!O27,'Tesla Revenue Automotive'!O35,'Tesla Revenue Automotive'!O43)</f>
        <v>1.02</v>
      </c>
      <c r="P19" s="67">
        <f>CHOOSE(Drivers!$C$3,'Tesla Revenue Automotive'!P27,'Tesla Revenue Automotive'!P35,'Tesla Revenue Automotive'!P43)</f>
        <v>1.02</v>
      </c>
      <c r="Q19" s="67">
        <f>CHOOSE(Drivers!$C$3,'Tesla Revenue Automotive'!Q27,'Tesla Revenue Automotive'!Q35,'Tesla Revenue Automotive'!Q43)</f>
        <v>1.02</v>
      </c>
    </row>
    <row r="20" spans="2:18" x14ac:dyDescent="0.3">
      <c r="B20" s="63"/>
      <c r="C20" s="64"/>
      <c r="D20" s="64"/>
      <c r="E20" s="64"/>
      <c r="F20" s="64"/>
      <c r="G20" s="63"/>
      <c r="H20" s="64"/>
      <c r="I20" s="68"/>
      <c r="J20" s="68"/>
      <c r="K20" s="68"/>
      <c r="L20" s="68"/>
      <c r="M20" s="68"/>
      <c r="N20" s="68"/>
      <c r="O20" s="68"/>
      <c r="P20" s="68"/>
      <c r="Q20" s="68"/>
    </row>
    <row r="21" spans="2:18" ht="16.2" x14ac:dyDescent="0.3">
      <c r="B21" s="7" t="s">
        <v>177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</row>
    <row r="22" spans="2:18" x14ac:dyDescent="0.3">
      <c r="B22" s="63" t="s">
        <v>114</v>
      </c>
      <c r="C22" s="64"/>
      <c r="D22" s="64"/>
      <c r="E22" s="64"/>
      <c r="F22" s="64"/>
      <c r="G22" s="63"/>
      <c r="H22" s="67">
        <v>1.02</v>
      </c>
      <c r="I22" s="67">
        <v>1.02</v>
      </c>
      <c r="J22" s="67">
        <v>1.02</v>
      </c>
      <c r="K22" s="67">
        <v>1.02</v>
      </c>
      <c r="L22" s="67">
        <v>1.02</v>
      </c>
      <c r="M22" s="67">
        <v>1.02</v>
      </c>
      <c r="N22" s="67">
        <v>1.02</v>
      </c>
      <c r="O22" s="67">
        <v>1.02</v>
      </c>
      <c r="P22" s="67">
        <v>1.02</v>
      </c>
      <c r="Q22" s="67">
        <v>1.02</v>
      </c>
    </row>
    <row r="23" spans="2:18" x14ac:dyDescent="0.3">
      <c r="B23" s="63" t="s">
        <v>115</v>
      </c>
      <c r="C23" s="64"/>
      <c r="D23" s="65"/>
      <c r="E23" s="65"/>
      <c r="F23" s="65"/>
      <c r="G23" s="63"/>
      <c r="H23" s="67">
        <v>1.02</v>
      </c>
      <c r="I23" s="67">
        <v>1.02</v>
      </c>
      <c r="J23" s="67">
        <v>1.02</v>
      </c>
      <c r="K23" s="67">
        <v>1.02</v>
      </c>
      <c r="L23" s="67">
        <v>1.02</v>
      </c>
      <c r="M23" s="67">
        <v>1.02</v>
      </c>
      <c r="N23" s="67">
        <v>1.02</v>
      </c>
      <c r="O23" s="67">
        <v>1.02</v>
      </c>
      <c r="P23" s="67">
        <v>1.02</v>
      </c>
      <c r="Q23" s="67">
        <v>1.02</v>
      </c>
    </row>
    <row r="24" spans="2:18" x14ac:dyDescent="0.3">
      <c r="B24" s="63" t="s">
        <v>116</v>
      </c>
      <c r="C24" s="64"/>
      <c r="D24" s="64"/>
      <c r="E24" s="64"/>
      <c r="F24" s="64"/>
      <c r="G24" s="63"/>
      <c r="H24" s="67">
        <v>1.02</v>
      </c>
      <c r="I24" s="67">
        <v>1.02</v>
      </c>
      <c r="J24" s="67">
        <v>1.02</v>
      </c>
      <c r="K24" s="67">
        <v>1.02</v>
      </c>
      <c r="L24" s="67">
        <v>1.02</v>
      </c>
      <c r="M24" s="67">
        <v>1.02</v>
      </c>
      <c r="N24" s="67">
        <v>1.02</v>
      </c>
      <c r="O24" s="67">
        <v>1.02</v>
      </c>
      <c r="P24" s="67">
        <v>1.02</v>
      </c>
      <c r="Q24" s="67">
        <v>1.02</v>
      </c>
    </row>
    <row r="25" spans="2:18" x14ac:dyDescent="0.3">
      <c r="B25" s="63" t="s">
        <v>117</v>
      </c>
      <c r="C25" s="64"/>
      <c r="D25" s="64"/>
      <c r="E25" s="64"/>
      <c r="F25" s="64"/>
      <c r="G25" s="63"/>
      <c r="H25" s="67">
        <v>1.02</v>
      </c>
      <c r="I25" s="67">
        <v>1.02</v>
      </c>
      <c r="J25" s="67">
        <v>1.02</v>
      </c>
      <c r="K25" s="67">
        <v>1.02</v>
      </c>
      <c r="L25" s="67">
        <v>1.02</v>
      </c>
      <c r="M25" s="67">
        <v>1.02</v>
      </c>
      <c r="N25" s="67">
        <v>1.02</v>
      </c>
      <c r="O25" s="67">
        <v>1.02</v>
      </c>
      <c r="P25" s="67">
        <v>1.02</v>
      </c>
      <c r="Q25" s="67">
        <v>1.02</v>
      </c>
    </row>
    <row r="26" spans="2:18" x14ac:dyDescent="0.3">
      <c r="B26" s="63" t="s">
        <v>118</v>
      </c>
      <c r="C26" s="64"/>
      <c r="D26" s="64"/>
      <c r="E26" s="64"/>
      <c r="F26" s="64"/>
      <c r="G26" s="63"/>
      <c r="H26" s="67">
        <v>1.02</v>
      </c>
      <c r="I26" s="67">
        <v>1.02</v>
      </c>
      <c r="J26" s="67">
        <v>1.02</v>
      </c>
      <c r="K26" s="67">
        <v>1.02</v>
      </c>
      <c r="L26" s="67">
        <v>1.02</v>
      </c>
      <c r="M26" s="67">
        <v>1.02</v>
      </c>
      <c r="N26" s="67">
        <v>1.02</v>
      </c>
      <c r="O26" s="67">
        <v>1.02</v>
      </c>
      <c r="P26" s="67">
        <v>1.02</v>
      </c>
      <c r="Q26" s="67">
        <v>1.02</v>
      </c>
    </row>
    <row r="27" spans="2:18" x14ac:dyDescent="0.3">
      <c r="B27" s="63" t="s">
        <v>119</v>
      </c>
      <c r="C27" s="64"/>
      <c r="D27" s="64"/>
      <c r="E27" s="64"/>
      <c r="F27" s="64"/>
      <c r="G27" s="63"/>
      <c r="H27" s="67">
        <v>1.02</v>
      </c>
      <c r="I27" s="67">
        <v>1.02</v>
      </c>
      <c r="J27" s="67">
        <v>1.02</v>
      </c>
      <c r="K27" s="67">
        <v>1.02</v>
      </c>
      <c r="L27" s="67">
        <v>1.02</v>
      </c>
      <c r="M27" s="67">
        <v>1.02</v>
      </c>
      <c r="N27" s="67">
        <v>1.02</v>
      </c>
      <c r="O27" s="67">
        <v>1.02</v>
      </c>
      <c r="P27" s="67">
        <v>1.02</v>
      </c>
      <c r="Q27" s="67">
        <v>1.02</v>
      </c>
    </row>
    <row r="28" spans="2:18" x14ac:dyDescent="0.3">
      <c r="B28" s="63"/>
      <c r="C28" s="64"/>
      <c r="D28" s="64"/>
      <c r="E28" s="64"/>
      <c r="F28" s="64"/>
      <c r="G28" s="63"/>
      <c r="H28" s="64"/>
      <c r="I28" s="68"/>
      <c r="J28" s="68"/>
      <c r="K28" s="68"/>
      <c r="L28" s="68"/>
      <c r="M28" s="68"/>
      <c r="N28" s="68"/>
      <c r="O28" s="68"/>
      <c r="P28" s="68"/>
      <c r="Q28" s="68"/>
    </row>
    <row r="29" spans="2:18" ht="16.2" x14ac:dyDescent="0.3">
      <c r="B29" s="7" t="s">
        <v>178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</row>
    <row r="30" spans="2:18" x14ac:dyDescent="0.3">
      <c r="B30" s="63" t="s">
        <v>114</v>
      </c>
      <c r="C30" s="64"/>
      <c r="D30" s="64"/>
      <c r="E30" s="64"/>
      <c r="F30" s="64"/>
      <c r="G30" s="63"/>
      <c r="H30" s="67">
        <v>1</v>
      </c>
      <c r="I30" s="67">
        <v>1</v>
      </c>
      <c r="J30" s="67">
        <v>1</v>
      </c>
      <c r="K30" s="67">
        <v>1</v>
      </c>
      <c r="L30" s="67">
        <v>1</v>
      </c>
      <c r="M30" s="67">
        <v>1</v>
      </c>
      <c r="N30" s="67">
        <v>1</v>
      </c>
      <c r="O30" s="67">
        <v>1</v>
      </c>
      <c r="P30" s="67">
        <v>1</v>
      </c>
      <c r="Q30" s="67">
        <v>1</v>
      </c>
    </row>
    <row r="31" spans="2:18" x14ac:dyDescent="0.3">
      <c r="B31" s="63" t="s">
        <v>115</v>
      </c>
      <c r="C31" s="64"/>
      <c r="D31" s="65"/>
      <c r="E31" s="65"/>
      <c r="F31" s="65"/>
      <c r="G31" s="63"/>
      <c r="H31" s="67">
        <v>1</v>
      </c>
      <c r="I31" s="67">
        <v>1</v>
      </c>
      <c r="J31" s="67">
        <v>1</v>
      </c>
      <c r="K31" s="67">
        <v>1</v>
      </c>
      <c r="L31" s="67">
        <v>1</v>
      </c>
      <c r="M31" s="67">
        <v>1</v>
      </c>
      <c r="N31" s="67">
        <v>1</v>
      </c>
      <c r="O31" s="67">
        <v>1</v>
      </c>
      <c r="P31" s="67">
        <v>1</v>
      </c>
      <c r="Q31" s="67">
        <v>1</v>
      </c>
    </row>
    <row r="32" spans="2:18" x14ac:dyDescent="0.3">
      <c r="B32" s="63" t="s">
        <v>116</v>
      </c>
      <c r="C32" s="64"/>
      <c r="D32" s="64"/>
      <c r="E32" s="64"/>
      <c r="F32" s="64"/>
      <c r="G32" s="63"/>
      <c r="H32" s="67">
        <v>1</v>
      </c>
      <c r="I32" s="67">
        <v>1</v>
      </c>
      <c r="J32" s="67">
        <v>1</v>
      </c>
      <c r="K32" s="67">
        <v>1</v>
      </c>
      <c r="L32" s="67">
        <v>1</v>
      </c>
      <c r="M32" s="67">
        <v>1</v>
      </c>
      <c r="N32" s="67">
        <v>1</v>
      </c>
      <c r="O32" s="67">
        <v>1</v>
      </c>
      <c r="P32" s="67">
        <v>1</v>
      </c>
      <c r="Q32" s="67">
        <v>1</v>
      </c>
    </row>
    <row r="33" spans="2:17" x14ac:dyDescent="0.3">
      <c r="B33" s="63" t="s">
        <v>117</v>
      </c>
      <c r="C33" s="64"/>
      <c r="D33" s="64"/>
      <c r="E33" s="64"/>
      <c r="F33" s="64"/>
      <c r="G33" s="63"/>
      <c r="H33" s="67">
        <v>1</v>
      </c>
      <c r="I33" s="67">
        <v>1</v>
      </c>
      <c r="J33" s="67">
        <v>1</v>
      </c>
      <c r="K33" s="67">
        <v>1</v>
      </c>
      <c r="L33" s="67">
        <v>1</v>
      </c>
      <c r="M33" s="67">
        <v>1</v>
      </c>
      <c r="N33" s="67">
        <v>1</v>
      </c>
      <c r="O33" s="67">
        <v>1</v>
      </c>
      <c r="P33" s="67">
        <v>1</v>
      </c>
      <c r="Q33" s="67">
        <v>1</v>
      </c>
    </row>
    <row r="34" spans="2:17" x14ac:dyDescent="0.3">
      <c r="B34" s="63" t="s">
        <v>118</v>
      </c>
      <c r="C34" s="64"/>
      <c r="D34" s="64"/>
      <c r="E34" s="64"/>
      <c r="F34" s="64"/>
      <c r="G34" s="63"/>
      <c r="H34" s="67">
        <v>1</v>
      </c>
      <c r="I34" s="67">
        <v>1</v>
      </c>
      <c r="J34" s="67">
        <v>1</v>
      </c>
      <c r="K34" s="67">
        <v>1</v>
      </c>
      <c r="L34" s="67">
        <v>1</v>
      </c>
      <c r="M34" s="67">
        <v>1</v>
      </c>
      <c r="N34" s="67">
        <v>1</v>
      </c>
      <c r="O34" s="67">
        <v>1</v>
      </c>
      <c r="P34" s="67">
        <v>1</v>
      </c>
      <c r="Q34" s="67">
        <v>1</v>
      </c>
    </row>
    <row r="35" spans="2:17" x14ac:dyDescent="0.3">
      <c r="B35" s="63" t="s">
        <v>119</v>
      </c>
      <c r="C35" s="64"/>
      <c r="D35" s="64"/>
      <c r="E35" s="64"/>
      <c r="F35" s="64"/>
      <c r="G35" s="63"/>
      <c r="H35" s="67">
        <v>1</v>
      </c>
      <c r="I35" s="67">
        <v>1</v>
      </c>
      <c r="J35" s="67">
        <v>1</v>
      </c>
      <c r="K35" s="67">
        <v>1</v>
      </c>
      <c r="L35" s="67">
        <v>1</v>
      </c>
      <c r="M35" s="67">
        <v>1</v>
      </c>
      <c r="N35" s="67">
        <v>1</v>
      </c>
      <c r="O35" s="67">
        <v>1</v>
      </c>
      <c r="P35" s="67">
        <v>1</v>
      </c>
      <c r="Q35" s="67">
        <v>1</v>
      </c>
    </row>
    <row r="36" spans="2:17" x14ac:dyDescent="0.3">
      <c r="B36" s="63"/>
      <c r="C36" s="64"/>
      <c r="D36" s="64"/>
      <c r="E36" s="64"/>
      <c r="F36" s="64"/>
      <c r="G36" s="63"/>
      <c r="H36" s="64"/>
      <c r="I36" s="68"/>
      <c r="J36" s="68"/>
      <c r="K36" s="68"/>
      <c r="L36" s="68"/>
      <c r="M36" s="68"/>
      <c r="N36" s="68"/>
      <c r="O36" s="68"/>
      <c r="P36" s="68"/>
      <c r="Q36" s="68"/>
    </row>
    <row r="37" spans="2:17" ht="16.2" x14ac:dyDescent="0.3">
      <c r="B37" s="7" t="s">
        <v>179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</row>
    <row r="38" spans="2:17" x14ac:dyDescent="0.3">
      <c r="B38" s="63" t="s">
        <v>114</v>
      </c>
      <c r="C38" s="64"/>
      <c r="D38" s="64"/>
      <c r="E38" s="64"/>
      <c r="F38" s="64"/>
      <c r="G38" s="63"/>
      <c r="H38" s="67">
        <v>0.98</v>
      </c>
      <c r="I38" s="67">
        <v>0.98</v>
      </c>
      <c r="J38" s="67">
        <v>0.98</v>
      </c>
      <c r="K38" s="67">
        <v>0.98</v>
      </c>
      <c r="L38" s="67">
        <v>0.98</v>
      </c>
      <c r="M38" s="67">
        <v>0.98</v>
      </c>
      <c r="N38" s="67">
        <v>0.98</v>
      </c>
      <c r="O38" s="67">
        <v>0.98</v>
      </c>
      <c r="P38" s="67">
        <v>0.98</v>
      </c>
      <c r="Q38" s="67">
        <v>0.98</v>
      </c>
    </row>
    <row r="39" spans="2:17" x14ac:dyDescent="0.3">
      <c r="B39" s="63" t="s">
        <v>115</v>
      </c>
      <c r="C39" s="64"/>
      <c r="D39" s="65"/>
      <c r="E39" s="65"/>
      <c r="F39" s="65"/>
      <c r="G39" s="63"/>
      <c r="H39" s="67">
        <v>0.98</v>
      </c>
      <c r="I39" s="67">
        <v>0.98</v>
      </c>
      <c r="J39" s="67">
        <v>0.98</v>
      </c>
      <c r="K39" s="67">
        <v>0.98</v>
      </c>
      <c r="L39" s="67">
        <v>0.98</v>
      </c>
      <c r="M39" s="67">
        <v>0.98</v>
      </c>
      <c r="N39" s="67">
        <v>0.98</v>
      </c>
      <c r="O39" s="67">
        <v>0.98</v>
      </c>
      <c r="P39" s="67">
        <v>0.98</v>
      </c>
      <c r="Q39" s="67">
        <v>0.98</v>
      </c>
    </row>
    <row r="40" spans="2:17" x14ac:dyDescent="0.3">
      <c r="B40" s="63" t="s">
        <v>116</v>
      </c>
      <c r="C40" s="64"/>
      <c r="D40" s="64"/>
      <c r="E40" s="64"/>
      <c r="F40" s="64"/>
      <c r="G40" s="63"/>
      <c r="H40" s="67">
        <v>0.98</v>
      </c>
      <c r="I40" s="67">
        <v>0.98</v>
      </c>
      <c r="J40" s="67">
        <v>0.98</v>
      </c>
      <c r="K40" s="67">
        <v>0.98</v>
      </c>
      <c r="L40" s="67">
        <v>0.98</v>
      </c>
      <c r="M40" s="67">
        <v>0.98</v>
      </c>
      <c r="N40" s="67">
        <v>0.98</v>
      </c>
      <c r="O40" s="67">
        <v>0.98</v>
      </c>
      <c r="P40" s="67">
        <v>0.98</v>
      </c>
      <c r="Q40" s="67">
        <v>0.98</v>
      </c>
    </row>
    <row r="41" spans="2:17" x14ac:dyDescent="0.3">
      <c r="B41" s="63" t="s">
        <v>117</v>
      </c>
      <c r="C41" s="64"/>
      <c r="D41" s="64"/>
      <c r="E41" s="64"/>
      <c r="F41" s="64"/>
      <c r="G41" s="63"/>
      <c r="H41" s="67">
        <v>0.98</v>
      </c>
      <c r="I41" s="67">
        <v>0.98</v>
      </c>
      <c r="J41" s="67">
        <v>0.98</v>
      </c>
      <c r="K41" s="67">
        <v>0.98</v>
      </c>
      <c r="L41" s="67">
        <v>0.98</v>
      </c>
      <c r="M41" s="67">
        <v>0.98</v>
      </c>
      <c r="N41" s="67">
        <v>0.98</v>
      </c>
      <c r="O41" s="67">
        <v>0.98</v>
      </c>
      <c r="P41" s="67">
        <v>0.98</v>
      </c>
      <c r="Q41" s="67">
        <v>0.98</v>
      </c>
    </row>
    <row r="42" spans="2:17" x14ac:dyDescent="0.3">
      <c r="B42" s="63" t="s">
        <v>118</v>
      </c>
      <c r="C42" s="64"/>
      <c r="D42" s="64"/>
      <c r="E42" s="64"/>
      <c r="F42" s="64"/>
      <c r="G42" s="63"/>
      <c r="H42" s="67">
        <v>0.98</v>
      </c>
      <c r="I42" s="67">
        <v>0.98</v>
      </c>
      <c r="J42" s="67">
        <v>0.98</v>
      </c>
      <c r="K42" s="67">
        <v>0.98</v>
      </c>
      <c r="L42" s="67">
        <v>0.98</v>
      </c>
      <c r="M42" s="67">
        <v>0.98</v>
      </c>
      <c r="N42" s="67">
        <v>0.98</v>
      </c>
      <c r="O42" s="67">
        <v>0.98</v>
      </c>
      <c r="P42" s="67">
        <v>0.98</v>
      </c>
      <c r="Q42" s="67">
        <v>0.98</v>
      </c>
    </row>
    <row r="43" spans="2:17" x14ac:dyDescent="0.3">
      <c r="B43" s="63" t="s">
        <v>119</v>
      </c>
      <c r="C43" s="64"/>
      <c r="D43" s="64"/>
      <c r="E43" s="64"/>
      <c r="F43" s="64"/>
      <c r="G43" s="63"/>
      <c r="H43" s="67">
        <v>0.98</v>
      </c>
      <c r="I43" s="67">
        <v>0.98</v>
      </c>
      <c r="J43" s="67">
        <v>0.98</v>
      </c>
      <c r="K43" s="67">
        <v>0.98</v>
      </c>
      <c r="L43" s="67">
        <v>0.98</v>
      </c>
      <c r="M43" s="67">
        <v>0.98</v>
      </c>
      <c r="N43" s="67">
        <v>0.98</v>
      </c>
      <c r="O43" s="67">
        <v>0.98</v>
      </c>
      <c r="P43" s="67">
        <v>0.98</v>
      </c>
      <c r="Q43" s="67">
        <v>0.98</v>
      </c>
    </row>
    <row r="44" spans="2:17" x14ac:dyDescent="0.3">
      <c r="B44" s="63"/>
      <c r="C44" s="64"/>
      <c r="D44" s="64"/>
      <c r="E44" s="64"/>
      <c r="F44" s="64"/>
      <c r="G44" s="63"/>
      <c r="H44" s="64"/>
      <c r="I44" s="68"/>
      <c r="J44" s="68"/>
      <c r="K44" s="68"/>
      <c r="L44" s="68"/>
      <c r="M44" s="68"/>
      <c r="N44" s="68"/>
      <c r="O44" s="68"/>
      <c r="P44" s="68"/>
      <c r="Q44" s="68"/>
    </row>
  </sheetData>
  <mergeCells count="1">
    <mergeCell ref="B3:Q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DDDB-588B-44CA-AC72-FAAC5BD126CE}">
  <dimension ref="A1:I21"/>
  <sheetViews>
    <sheetView workbookViewId="0">
      <selection activeCell="B1" sqref="B1"/>
    </sheetView>
  </sheetViews>
  <sheetFormatPr defaultColWidth="9.109375" defaultRowHeight="15.6" x14ac:dyDescent="0.3"/>
  <cols>
    <col min="1" max="1" width="2" style="6" customWidth="1"/>
    <col min="2" max="2" width="21.21875" style="6" customWidth="1"/>
    <col min="3" max="3" width="33.33203125" style="6" customWidth="1"/>
    <col min="4" max="5" width="9.109375" style="6"/>
    <col min="6" max="6" width="12" style="6" bestFit="1" customWidth="1"/>
    <col min="7" max="7" width="4.5546875" style="6" customWidth="1"/>
    <col min="8" max="8" width="9.6640625" style="6" bestFit="1" customWidth="1"/>
    <col min="9" max="16384" width="9.109375" style="6"/>
  </cols>
  <sheetData>
    <row r="1" spans="1:9" ht="21" x14ac:dyDescent="0.3">
      <c r="A1" s="55"/>
      <c r="B1" s="16" t="s">
        <v>350</v>
      </c>
    </row>
    <row r="2" spans="1:9" ht="16.2" x14ac:dyDescent="0.3">
      <c r="A2" s="55"/>
      <c r="B2" s="4"/>
    </row>
    <row r="3" spans="1:9" ht="16.2" x14ac:dyDescent="0.3">
      <c r="A3" s="55"/>
      <c r="B3" s="4" t="s">
        <v>180</v>
      </c>
    </row>
    <row r="5" spans="1:9" ht="50.4" customHeight="1" x14ac:dyDescent="0.3">
      <c r="B5" s="107" t="s">
        <v>103</v>
      </c>
      <c r="C5" s="107" t="s">
        <v>181</v>
      </c>
      <c r="D5" s="102" t="s">
        <v>182</v>
      </c>
      <c r="E5" s="102" t="s">
        <v>183</v>
      </c>
      <c r="F5" s="102" t="s">
        <v>184</v>
      </c>
      <c r="G5" s="9"/>
      <c r="H5" s="108" t="s">
        <v>140</v>
      </c>
    </row>
    <row r="6" spans="1:9" x14ac:dyDescent="0.3">
      <c r="B6" s="6" t="s">
        <v>114</v>
      </c>
      <c r="C6" s="6" t="s">
        <v>185</v>
      </c>
      <c r="D6" s="94">
        <v>0.187</v>
      </c>
      <c r="E6" s="94">
        <f>(((155900-134693)/155900)+((160338-136269)/160338))/2</f>
        <v>0.14307181999290131</v>
      </c>
      <c r="F6" s="94">
        <f>(((108187-93164)/108187)+((110412-95011)/110412))/2</f>
        <v>0.13917403294178585</v>
      </c>
      <c r="G6" s="9"/>
      <c r="H6" s="106">
        <f>C16</f>
        <v>0.2234438823353104</v>
      </c>
      <c r="I6" s="6" t="s">
        <v>186</v>
      </c>
    </row>
    <row r="7" spans="1:9" x14ac:dyDescent="0.3">
      <c r="B7" s="6" t="s">
        <v>115</v>
      </c>
      <c r="C7" s="6" t="s">
        <v>187</v>
      </c>
      <c r="D7" s="105">
        <f>((13620/91682)+(13928/85846))/2</f>
        <v>0.15540049350548607</v>
      </c>
      <c r="E7" s="105">
        <f>((33067/167362)+(29165/172745))/2</f>
        <v>0.18320518912380251</v>
      </c>
      <c r="F7" s="105">
        <v>0.17199999999999999</v>
      </c>
      <c r="G7" s="9"/>
      <c r="H7" s="106">
        <f>C17</f>
        <v>0.2234438823353104</v>
      </c>
      <c r="I7" s="6" t="s">
        <v>186</v>
      </c>
    </row>
    <row r="8" spans="1:9" x14ac:dyDescent="0.3">
      <c r="B8" s="6" t="s">
        <v>116</v>
      </c>
      <c r="C8" s="6" t="s">
        <v>185</v>
      </c>
      <c r="D8" s="94">
        <v>0.187</v>
      </c>
      <c r="E8" s="94">
        <f>(((155900-134693)/155900)+((160338-136269)/160338))/2</f>
        <v>0.14307181999290131</v>
      </c>
      <c r="F8" s="94">
        <f>(((108187-93164)/108187)+((110412-95011)/110412))/2</f>
        <v>0.13917403294178585</v>
      </c>
      <c r="G8" s="9"/>
      <c r="H8" s="106">
        <f>AVERAGE(D8:F8)</f>
        <v>0.15641528431156237</v>
      </c>
      <c r="I8" s="6" t="s">
        <v>188</v>
      </c>
    </row>
    <row r="9" spans="1:9" x14ac:dyDescent="0.3">
      <c r="B9" s="6" t="s">
        <v>117</v>
      </c>
      <c r="C9" s="6" t="s">
        <v>189</v>
      </c>
      <c r="D9" s="94">
        <f>(((24214-15670)/24214)+((25786-16328)/25786))/2</f>
        <v>0.35982095031010847</v>
      </c>
      <c r="E9" s="105">
        <v>0.44</v>
      </c>
      <c r="F9" s="94">
        <f>(((3766-1805)/3766)+((3420-1623)/3420))/2</f>
        <v>0.52307511343414292</v>
      </c>
      <c r="G9" s="9"/>
      <c r="H9" s="106">
        <f t="shared" ref="H9:H11" si="0">AVERAGE(D9:F9)</f>
        <v>0.44096535458141711</v>
      </c>
      <c r="I9" s="6" t="s">
        <v>188</v>
      </c>
    </row>
    <row r="10" spans="1:9" x14ac:dyDescent="0.3">
      <c r="B10" s="6" t="s">
        <v>118</v>
      </c>
      <c r="C10" s="6" t="s">
        <v>185</v>
      </c>
      <c r="D10" s="94">
        <f>D6</f>
        <v>0.187</v>
      </c>
      <c r="E10" s="94">
        <f>E6</f>
        <v>0.14307181999290131</v>
      </c>
      <c r="F10" s="94">
        <f>F6</f>
        <v>0.13917403294178585</v>
      </c>
      <c r="G10" s="9"/>
      <c r="H10" s="106">
        <f t="shared" si="0"/>
        <v>0.15641528431156237</v>
      </c>
      <c r="I10" s="6" t="s">
        <v>188</v>
      </c>
    </row>
    <row r="11" spans="1:9" x14ac:dyDescent="0.3">
      <c r="B11" s="6" t="s">
        <v>119</v>
      </c>
      <c r="C11" s="6" t="s">
        <v>190</v>
      </c>
      <c r="D11" s="94">
        <v>0.23</v>
      </c>
      <c r="E11" s="94">
        <v>0.23</v>
      </c>
      <c r="F11" s="94">
        <f>(((24120-20556)/24120)+((22139-18925)/22139))/2</f>
        <v>0.14646743472213888</v>
      </c>
      <c r="G11" s="9"/>
      <c r="H11" s="106">
        <f t="shared" si="0"/>
        <v>0.2021558115740463</v>
      </c>
      <c r="I11" s="6" t="s">
        <v>188</v>
      </c>
    </row>
    <row r="13" spans="1:9" ht="16.2" x14ac:dyDescent="0.3">
      <c r="B13" s="7" t="s">
        <v>191</v>
      </c>
    </row>
    <row r="14" spans="1:9" x14ac:dyDescent="0.3">
      <c r="F14" s="6" t="s">
        <v>138</v>
      </c>
    </row>
    <row r="15" spans="1:9" ht="16.2" x14ac:dyDescent="0.35">
      <c r="B15" s="74" t="s">
        <v>103</v>
      </c>
      <c r="C15" s="74" t="s">
        <v>192</v>
      </c>
    </row>
    <row r="16" spans="1:9" x14ac:dyDescent="0.3">
      <c r="B16" s="6" t="s">
        <v>114</v>
      </c>
      <c r="C16" s="8">
        <f>AVERAGE('P&amp;L Input'!F29:G29)</f>
        <v>0.2234438823353104</v>
      </c>
    </row>
    <row r="17" spans="2:3" x14ac:dyDescent="0.3">
      <c r="B17" s="6" t="s">
        <v>115</v>
      </c>
      <c r="C17" s="8">
        <f>AVERAGE('P&amp;L Input'!F29:G29)</f>
        <v>0.2234438823353104</v>
      </c>
    </row>
    <row r="18" spans="2:3" x14ac:dyDescent="0.3">
      <c r="B18" s="6" t="s">
        <v>116</v>
      </c>
      <c r="C18" s="9" t="s">
        <v>122</v>
      </c>
    </row>
    <row r="19" spans="2:3" x14ac:dyDescent="0.3">
      <c r="B19" s="6" t="s">
        <v>117</v>
      </c>
      <c r="C19" s="9" t="s">
        <v>122</v>
      </c>
    </row>
    <row r="20" spans="2:3" x14ac:dyDescent="0.3">
      <c r="B20" s="6" t="s">
        <v>118</v>
      </c>
      <c r="C20" s="9" t="s">
        <v>122</v>
      </c>
    </row>
    <row r="21" spans="2:3" x14ac:dyDescent="0.3">
      <c r="B21" s="6" t="s">
        <v>119</v>
      </c>
      <c r="C21" s="9" t="s">
        <v>122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4555-76DA-4363-9620-D362DABB40F1}">
  <dimension ref="A1:Q44"/>
  <sheetViews>
    <sheetView workbookViewId="0"/>
  </sheetViews>
  <sheetFormatPr defaultColWidth="9.109375" defaultRowHeight="15.6" x14ac:dyDescent="0.3"/>
  <cols>
    <col min="1" max="1" width="2" style="6" customWidth="1"/>
    <col min="2" max="2" width="20.5546875" style="6" customWidth="1"/>
    <col min="3" max="4" width="11.44140625" style="6" bestFit="1" customWidth="1"/>
    <col min="5" max="5" width="9.21875" style="6" bestFit="1" customWidth="1"/>
    <col min="6" max="6" width="11.5546875" style="6" bestFit="1" customWidth="1"/>
    <col min="7" max="7" width="10.33203125" style="6" customWidth="1"/>
    <col min="8" max="8" width="10.44140625" style="6" bestFit="1" customWidth="1"/>
    <col min="9" max="12" width="10.5546875" style="6" bestFit="1" customWidth="1"/>
    <col min="13" max="17" width="9.33203125" style="6" bestFit="1" customWidth="1"/>
    <col min="18" max="16384" width="9.109375" style="6"/>
  </cols>
  <sheetData>
    <row r="1" spans="1:17" ht="21" x14ac:dyDescent="0.3">
      <c r="A1" s="55"/>
      <c r="B1" s="16" t="s">
        <v>351</v>
      </c>
    </row>
    <row r="2" spans="1:17" ht="16.2" x14ac:dyDescent="0.3">
      <c r="A2" s="55"/>
      <c r="B2" s="4"/>
    </row>
    <row r="3" spans="1:17" ht="14.4" customHeight="1" x14ac:dyDescent="0.3">
      <c r="B3" s="265" t="s">
        <v>193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</row>
    <row r="4" spans="1:17" ht="32.4" x14ac:dyDescent="0.35">
      <c r="B4" s="80" t="s">
        <v>103</v>
      </c>
      <c r="C4" s="19" t="s">
        <v>17</v>
      </c>
      <c r="D4" s="19" t="s">
        <v>18</v>
      </c>
      <c r="E4" s="19" t="s">
        <v>19</v>
      </c>
      <c r="F4" s="19" t="s">
        <v>20</v>
      </c>
      <c r="G4" s="19" t="s">
        <v>21</v>
      </c>
      <c r="H4" s="57" t="s">
        <v>104</v>
      </c>
      <c r="I4" s="57" t="s">
        <v>105</v>
      </c>
      <c r="J4" s="57" t="s">
        <v>106</v>
      </c>
      <c r="K4" s="57" t="s">
        <v>107</v>
      </c>
      <c r="L4" s="57" t="s">
        <v>108</v>
      </c>
      <c r="M4" s="57" t="s">
        <v>109</v>
      </c>
      <c r="N4" s="57" t="s">
        <v>110</v>
      </c>
      <c r="O4" s="57" t="s">
        <v>111</v>
      </c>
      <c r="P4" s="57" t="s">
        <v>112</v>
      </c>
      <c r="Q4" s="57" t="s">
        <v>113</v>
      </c>
    </row>
    <row r="5" spans="1:17" x14ac:dyDescent="0.3">
      <c r="B5" s="6" t="s">
        <v>114</v>
      </c>
      <c r="C5" s="20" t="s">
        <v>122</v>
      </c>
      <c r="D5" s="20" t="s">
        <v>122</v>
      </c>
      <c r="E5" s="20" t="s">
        <v>122</v>
      </c>
      <c r="F5" s="20" t="s">
        <v>122</v>
      </c>
      <c r="G5" s="20" t="s">
        <v>122</v>
      </c>
      <c r="H5" s="84">
        <f>H14*'Tesla Revenue Automotive'!H5</f>
        <v>6339.5400947368571</v>
      </c>
      <c r="I5" s="84">
        <f>I14*'Tesla Revenue Automotive'!I5</f>
        <v>6973.4941042105438</v>
      </c>
      <c r="J5" s="84">
        <f>J14*'Tesla Revenue Automotive'!J5</f>
        <v>7670.8435146315987</v>
      </c>
      <c r="K5" s="84">
        <f>K14*'Tesla Revenue Automotive'!K5</f>
        <v>8284.5109958021258</v>
      </c>
      <c r="L5" s="84">
        <f>L14*'Tesla Revenue Automotive'!L5</f>
        <v>8947.2718754662983</v>
      </c>
      <c r="M5" s="84">
        <f>M14*'Tesla Revenue Automotive'!M5</f>
        <v>9305.162750484953</v>
      </c>
      <c r="N5" s="84">
        <f>N14*'Tesla Revenue Automotive'!N5</f>
        <v>9677.369260504347</v>
      </c>
      <c r="O5" s="84">
        <f>O14*'Tesla Revenue Automotive'!O5</f>
        <v>10064.464030924522</v>
      </c>
      <c r="P5" s="84">
        <f>P14*'Tesla Revenue Automotive'!P5</f>
        <v>10467.042592161506</v>
      </c>
      <c r="Q5" s="84">
        <f>Q14*'Tesla Revenue Automotive'!Q5</f>
        <v>10885.724295847966</v>
      </c>
    </row>
    <row r="6" spans="1:17" x14ac:dyDescent="0.3">
      <c r="B6" s="6" t="s">
        <v>115</v>
      </c>
      <c r="C6" s="20" t="s">
        <v>122</v>
      </c>
      <c r="D6" s="20" t="s">
        <v>122</v>
      </c>
      <c r="E6" s="20" t="s">
        <v>122</v>
      </c>
      <c r="F6" s="20" t="s">
        <v>122</v>
      </c>
      <c r="G6" s="20" t="s">
        <v>122</v>
      </c>
      <c r="H6" s="84">
        <f>H15*'Tesla Revenue Automotive'!H6</f>
        <v>1713.6151899720658</v>
      </c>
      <c r="I6" s="84">
        <f>I15*'Tesla Revenue Automotive'!I6</f>
        <v>1782.1597975709485</v>
      </c>
      <c r="J6" s="84">
        <f>J15*'Tesla Revenue Automotive'!J6</f>
        <v>1853.4461894737863</v>
      </c>
      <c r="K6" s="84">
        <f>K15*'Tesla Revenue Automotive'!K6</f>
        <v>1927.584037052738</v>
      </c>
      <c r="L6" s="84">
        <f>L15*'Tesla Revenue Automotive'!L6</f>
        <v>2004.6873985348477</v>
      </c>
      <c r="M6" s="84">
        <f>M15*'Tesla Revenue Automotive'!M6</f>
        <v>2084.8748944762415</v>
      </c>
      <c r="N6" s="84">
        <f>N15*'Tesla Revenue Automotive'!N6</f>
        <v>2168.2698902552911</v>
      </c>
      <c r="O6" s="84">
        <f>O15*'Tesla Revenue Automotive'!O6</f>
        <v>2255.0006858655033</v>
      </c>
      <c r="P6" s="84">
        <f>P15*'Tesla Revenue Automotive'!P6</f>
        <v>2345.200713300123</v>
      </c>
      <c r="Q6" s="84">
        <f>Q15*'Tesla Revenue Automotive'!Q6</f>
        <v>2439.0087418321286</v>
      </c>
    </row>
    <row r="7" spans="1:17" x14ac:dyDescent="0.3">
      <c r="B7" s="6" t="s">
        <v>116</v>
      </c>
      <c r="C7" s="20">
        <v>0</v>
      </c>
      <c r="D7" s="20">
        <v>0</v>
      </c>
      <c r="E7" s="20">
        <v>0</v>
      </c>
      <c r="F7" s="20">
        <v>0</v>
      </c>
      <c r="G7" s="51">
        <f>G16*'Tesla Revenue Automotive'!G7</f>
        <v>0</v>
      </c>
      <c r="H7" s="84">
        <f>H16*'Tesla Revenue Automotive'!H7</f>
        <v>18.813869658122584</v>
      </c>
      <c r="I7" s="84">
        <f>I16*'Tesla Revenue Automotive'!I7</f>
        <v>1557.7436127647927</v>
      </c>
      <c r="J7" s="84">
        <f>J16*'Tesla Revenue Automotive'!J7</f>
        <v>3208.3300460363635</v>
      </c>
      <c r="K7" s="84">
        <f>K16*'Tesla Revenue Automotive'!K7</f>
        <v>5133.3280736581819</v>
      </c>
      <c r="L7" s="84">
        <f>L16*'Tesla Revenue Automotive'!L7</f>
        <v>5646.6608810239995</v>
      </c>
      <c r="M7" s="84">
        <f>M16*'Tesla Revenue Automotive'!M7</f>
        <v>6211.3269691264022</v>
      </c>
      <c r="N7" s="84">
        <f>N16*'Tesla Revenue Automotive'!N7</f>
        <v>6708.2331266565152</v>
      </c>
      <c r="O7" s="84">
        <f>O16*'Tesla Revenue Automotive'!O7</f>
        <v>7244.8917767890343</v>
      </c>
      <c r="P7" s="84">
        <f>P16*'Tesla Revenue Automotive'!P7</f>
        <v>7534.6874478605978</v>
      </c>
      <c r="Q7" s="84">
        <f>Q16*'Tesla Revenue Automotive'!Q7</f>
        <v>7836.0749457750226</v>
      </c>
    </row>
    <row r="8" spans="1:17" x14ac:dyDescent="0.3">
      <c r="B8" s="6" t="s">
        <v>117</v>
      </c>
      <c r="C8" s="20">
        <v>0</v>
      </c>
      <c r="D8" s="20">
        <v>0</v>
      </c>
      <c r="E8" s="20">
        <v>0</v>
      </c>
      <c r="F8" s="20">
        <v>0</v>
      </c>
      <c r="G8" s="51">
        <f>G17*'Tesla Revenue Automotive'!G8</f>
        <v>0</v>
      </c>
      <c r="H8" s="109" t="s">
        <v>136</v>
      </c>
      <c r="I8" s="109" t="s">
        <v>136</v>
      </c>
      <c r="J8" s="84">
        <f>J17*'Tesla Revenue Automotive'!J8</f>
        <v>52.322024438217618</v>
      </c>
      <c r="K8" s="84">
        <f>K17*'Tesla Revenue Automotive'!K8</f>
        <v>104.64404887643524</v>
      </c>
      <c r="L8" s="84">
        <f>L17*'Tesla Revenue Automotive'!L8</f>
        <v>156.96607331465285</v>
      </c>
      <c r="M8" s="84">
        <f>M17*'Tesla Revenue Automotive'!M8</f>
        <v>172.66268064611816</v>
      </c>
      <c r="N8" s="84">
        <f>N17*'Tesla Revenue Automotive'!N8</f>
        <v>189.92894871073</v>
      </c>
      <c r="O8" s="84">
        <f>O17*'Tesla Revenue Automotive'!O8</f>
        <v>205.12326460758842</v>
      </c>
      <c r="P8" s="84">
        <f>P17*'Tesla Revenue Automotive'!P8</f>
        <v>221.53312577619553</v>
      </c>
      <c r="Q8" s="84">
        <f>Q17*'Tesla Revenue Automotive'!Q8</f>
        <v>230.39445080724335</v>
      </c>
    </row>
    <row r="9" spans="1:17" x14ac:dyDescent="0.3">
      <c r="B9" s="6" t="s">
        <v>118</v>
      </c>
      <c r="C9" s="20">
        <v>0</v>
      </c>
      <c r="D9" s="20">
        <v>0</v>
      </c>
      <c r="E9" s="20">
        <v>0</v>
      </c>
      <c r="F9" s="20">
        <v>0</v>
      </c>
      <c r="G9" s="51">
        <f>G18*'Tesla Revenue Automotive'!G9</f>
        <v>0</v>
      </c>
      <c r="H9" s="109" t="s">
        <v>136</v>
      </c>
      <c r="I9" s="109">
        <f>I18*'Tesla Revenue Automotive'!I9</f>
        <v>2.5527164139677869</v>
      </c>
      <c r="J9" s="84">
        <f>J18*'Tesla Revenue Automotive'!J9</f>
        <v>211.35884118030904</v>
      </c>
      <c r="K9" s="84">
        <f>K18*'Tesla Revenue Automotive'!K9</f>
        <v>435.31484584337875</v>
      </c>
      <c r="L9" s="84">
        <f>L18*'Tesla Revenue Automotive'!L9</f>
        <v>696.503753349406</v>
      </c>
      <c r="M9" s="84">
        <f>M18*'Tesla Revenue Automotive'!M9</f>
        <v>766.15412868434669</v>
      </c>
      <c r="N9" s="84">
        <f>N18*'Tesla Revenue Automotive'!N9</f>
        <v>842.76954155278122</v>
      </c>
      <c r="O9" s="84">
        <f>O18*'Tesla Revenue Automotive'!O9</f>
        <v>910.19110487700402</v>
      </c>
      <c r="P9" s="84">
        <f>P18*'Tesla Revenue Automotive'!P9</f>
        <v>983.0063932671643</v>
      </c>
      <c r="Q9" s="84">
        <f>Q18*'Tesla Revenue Automotive'!Q9</f>
        <v>1022.326648997851</v>
      </c>
    </row>
    <row r="10" spans="1:17" x14ac:dyDescent="0.3">
      <c r="B10" s="6" t="s">
        <v>119</v>
      </c>
      <c r="C10" s="20">
        <v>0</v>
      </c>
      <c r="D10" s="20">
        <v>0</v>
      </c>
      <c r="E10" s="20">
        <v>0</v>
      </c>
      <c r="F10" s="20">
        <v>0</v>
      </c>
      <c r="G10" s="51">
        <f>G19*'Tesla Revenue Automotive'!G10</f>
        <v>0</v>
      </c>
      <c r="H10" s="109" t="s">
        <v>136</v>
      </c>
      <c r="I10" s="109">
        <f>I19*'Tesla Revenue Automotive'!I10</f>
        <v>9.6905780914918154</v>
      </c>
      <c r="J10" s="84">
        <f>J19*'Tesla Revenue Automotive'!J10</f>
        <v>802.35679317054257</v>
      </c>
      <c r="K10" s="84">
        <f>K19*'Tesla Revenue Automotive'!K10</f>
        <v>1652.5347214240994</v>
      </c>
      <c r="L10" s="84">
        <f>L19*'Tesla Revenue Automotive'!L10</f>
        <v>2644.0555542785592</v>
      </c>
      <c r="M10" s="84">
        <f>M19*'Tesla Revenue Automotive'!M10</f>
        <v>2908.4611097064153</v>
      </c>
      <c r="N10" s="84">
        <f>N19*'Tesla Revenue Automotive'!N10</f>
        <v>3199.3072206770571</v>
      </c>
      <c r="O10" s="84">
        <f>O19*'Tesla Revenue Automotive'!O10</f>
        <v>3455.2517983312218</v>
      </c>
      <c r="P10" s="84">
        <f>P19*'Tesla Revenue Automotive'!P10</f>
        <v>3731.67194219772</v>
      </c>
      <c r="Q10" s="84">
        <f>Q19*'Tesla Revenue Automotive'!Q10</f>
        <v>3880.9388198856291</v>
      </c>
    </row>
    <row r="11" spans="1:17" ht="16.8" thickBot="1" x14ac:dyDescent="0.4">
      <c r="B11" s="60" t="s">
        <v>120</v>
      </c>
      <c r="C11" s="61">
        <f>('P&amp;L Input'!C4+'P&amp;L Input'!C8)/1000</f>
        <v>917.67100000000005</v>
      </c>
      <c r="D11" s="61">
        <f>('P&amp;L Input'!D4+'P&amp;L Input'!D8)/1000</f>
        <v>1600.6849999999999</v>
      </c>
      <c r="E11" s="61">
        <f>('P&amp;L Input'!E4+'P&amp;L Input'!E8)/1000</f>
        <v>2208.596</v>
      </c>
      <c r="F11" s="61">
        <f>('P&amp;L Input'!F4+'P&amp;L Input'!F8)/1000</f>
        <v>4340.9859999999999</v>
      </c>
      <c r="G11" s="61">
        <f>('P&amp;L Input'!G4+'P&amp;L Input'!G8)/1000</f>
        <v>4423</v>
      </c>
      <c r="H11" s="61">
        <f>SUM(H5:H10)</f>
        <v>8071.9691543670451</v>
      </c>
      <c r="I11" s="61">
        <f t="shared" ref="I11:Q11" si="0">SUM(I5:I10)</f>
        <v>10325.640809051743</v>
      </c>
      <c r="J11" s="61">
        <f t="shared" si="0"/>
        <v>13798.657408930816</v>
      </c>
      <c r="K11" s="61">
        <f t="shared" si="0"/>
        <v>17537.916722656959</v>
      </c>
      <c r="L11" s="61">
        <f t="shared" si="0"/>
        <v>20096.145535967764</v>
      </c>
      <c r="M11" s="61">
        <f t="shared" si="0"/>
        <v>21448.642533124475</v>
      </c>
      <c r="N11" s="61">
        <f t="shared" si="0"/>
        <v>22785.877988356722</v>
      </c>
      <c r="O11" s="61">
        <f t="shared" si="0"/>
        <v>24134.922661394874</v>
      </c>
      <c r="P11" s="61">
        <f t="shared" si="0"/>
        <v>25283.142214563311</v>
      </c>
      <c r="Q11" s="61">
        <f t="shared" si="0"/>
        <v>26294.46790314584</v>
      </c>
    </row>
    <row r="13" spans="1:17" ht="16.2" x14ac:dyDescent="0.3">
      <c r="B13" s="7" t="s">
        <v>2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</row>
    <row r="14" spans="1:17" x14ac:dyDescent="0.3">
      <c r="B14" s="63" t="s">
        <v>114</v>
      </c>
      <c r="C14" s="64"/>
      <c r="D14" s="64"/>
      <c r="E14" s="64"/>
      <c r="F14" s="64"/>
      <c r="G14" s="67">
        <f>CHOOSE(Drivers!$C$3,'Tesla Automotive GP '!G22,'Tesla Automotive GP '!G30,'Tesla Automotive GP '!G38)</f>
        <v>0.23844388233531039</v>
      </c>
      <c r="H14" s="67">
        <f>CHOOSE(Drivers!$C$3,'Tesla Automotive GP '!H22,'Tesla Automotive GP '!H30,'Tesla Automotive GP '!H38)</f>
        <v>0.23844388233531039</v>
      </c>
      <c r="I14" s="67">
        <f>CHOOSE(Drivers!$C$3,'Tesla Automotive GP '!I22,'Tesla Automotive GP '!I30,'Tesla Automotive GP '!I38)</f>
        <v>0.23844388233531039</v>
      </c>
      <c r="J14" s="67">
        <f>CHOOSE(Drivers!$C$3,'Tesla Automotive GP '!J22,'Tesla Automotive GP '!J30,'Tesla Automotive GP '!J38)</f>
        <v>0.23844388233531039</v>
      </c>
      <c r="K14" s="67">
        <f>CHOOSE(Drivers!$C$3,'Tesla Automotive GP '!K22,'Tesla Automotive GP '!K30,'Tesla Automotive GP '!K38)</f>
        <v>0.23844388233531039</v>
      </c>
      <c r="L14" s="67">
        <f>CHOOSE(Drivers!$C$3,'Tesla Automotive GP '!L22,'Tesla Automotive GP '!L30,'Tesla Automotive GP '!L38)</f>
        <v>0.23844388233531039</v>
      </c>
      <c r="M14" s="67">
        <f>CHOOSE(Drivers!$C$3,'Tesla Automotive GP '!M22,'Tesla Automotive GP '!M30,'Tesla Automotive GP '!M38)</f>
        <v>0.23844388233531039</v>
      </c>
      <c r="N14" s="67">
        <f>CHOOSE(Drivers!$C$3,'Tesla Automotive GP '!N22,'Tesla Automotive GP '!N30,'Tesla Automotive GP '!N38)</f>
        <v>0.23844388233531039</v>
      </c>
      <c r="O14" s="67">
        <f>CHOOSE(Drivers!$C$3,'Tesla Automotive GP '!O22,'Tesla Automotive GP '!O30,'Tesla Automotive GP '!O38)</f>
        <v>0.23844388233531039</v>
      </c>
      <c r="P14" s="67">
        <f>CHOOSE(Drivers!$C$3,'Tesla Automotive GP '!P22,'Tesla Automotive GP '!P30,'Tesla Automotive GP '!P38)</f>
        <v>0.23844388233531039</v>
      </c>
      <c r="Q14" s="67">
        <f>CHOOSE(Drivers!$C$3,'Tesla Automotive GP '!Q22,'Tesla Automotive GP '!Q30,'Tesla Automotive GP '!Q38)</f>
        <v>0.23844388233531039</v>
      </c>
    </row>
    <row r="15" spans="1:17" x14ac:dyDescent="0.3">
      <c r="B15" s="63" t="s">
        <v>115</v>
      </c>
      <c r="C15" s="64"/>
      <c r="D15" s="65"/>
      <c r="E15" s="65"/>
      <c r="F15" s="65"/>
      <c r="G15" s="67">
        <f>CHOOSE(Drivers!$C$3,'Tesla Automotive GP '!G23,'Tesla Automotive GP '!G31,'Tesla Automotive GP '!G39)</f>
        <v>0.23844388233531039</v>
      </c>
      <c r="H15" s="67">
        <f>CHOOSE(Drivers!$C$3,'Tesla Automotive GP '!H23,'Tesla Automotive GP '!H31,'Tesla Automotive GP '!H39)</f>
        <v>0.23844388233531039</v>
      </c>
      <c r="I15" s="67">
        <f>CHOOSE(Drivers!$C$3,'Tesla Automotive GP '!I23,'Tesla Automotive GP '!I31,'Tesla Automotive GP '!I39)</f>
        <v>0.23844388233531039</v>
      </c>
      <c r="J15" s="67">
        <f>CHOOSE(Drivers!$C$3,'Tesla Automotive GP '!J23,'Tesla Automotive GP '!J31,'Tesla Automotive GP '!J39)</f>
        <v>0.23844388233531039</v>
      </c>
      <c r="K15" s="67">
        <f>CHOOSE(Drivers!$C$3,'Tesla Automotive GP '!K23,'Tesla Automotive GP '!K31,'Tesla Automotive GP '!K39)</f>
        <v>0.23844388233531039</v>
      </c>
      <c r="L15" s="67">
        <f>CHOOSE(Drivers!$C$3,'Tesla Automotive GP '!L23,'Tesla Automotive GP '!L31,'Tesla Automotive GP '!L39)</f>
        <v>0.23844388233531039</v>
      </c>
      <c r="M15" s="67">
        <f>CHOOSE(Drivers!$C$3,'Tesla Automotive GP '!M23,'Tesla Automotive GP '!M31,'Tesla Automotive GP '!M39)</f>
        <v>0.23844388233531039</v>
      </c>
      <c r="N15" s="67">
        <f>CHOOSE(Drivers!$C$3,'Tesla Automotive GP '!N23,'Tesla Automotive GP '!N31,'Tesla Automotive GP '!N39)</f>
        <v>0.23844388233531039</v>
      </c>
      <c r="O15" s="67">
        <f>CHOOSE(Drivers!$C$3,'Tesla Automotive GP '!O23,'Tesla Automotive GP '!O31,'Tesla Automotive GP '!O39)</f>
        <v>0.23844388233531039</v>
      </c>
      <c r="P15" s="67">
        <f>CHOOSE(Drivers!$C$3,'Tesla Automotive GP '!P23,'Tesla Automotive GP '!P31,'Tesla Automotive GP '!P39)</f>
        <v>0.23844388233531039</v>
      </c>
      <c r="Q15" s="67">
        <f>CHOOSE(Drivers!$C$3,'Tesla Automotive GP '!Q23,'Tesla Automotive GP '!Q31,'Tesla Automotive GP '!Q39)</f>
        <v>0.23844388233531039</v>
      </c>
    </row>
    <row r="16" spans="1:17" x14ac:dyDescent="0.3">
      <c r="B16" s="63" t="s">
        <v>116</v>
      </c>
      <c r="C16" s="64"/>
      <c r="D16" s="64"/>
      <c r="E16" s="64"/>
      <c r="F16" s="64"/>
      <c r="G16" s="67">
        <f>CHOOSE(Drivers!$C$3,'Tesla Automotive GP '!G24,'Tesla Automotive GP '!G32,'Tesla Automotive GP '!G40)</f>
        <v>0.17141528431156239</v>
      </c>
      <c r="H16" s="67">
        <f>CHOOSE(Drivers!$C$3,'Tesla Automotive GP '!H24,'Tesla Automotive GP '!H32,'Tesla Automotive GP '!H40)</f>
        <v>0.17141528431156239</v>
      </c>
      <c r="I16" s="67">
        <f>CHOOSE(Drivers!$C$3,'Tesla Automotive GP '!I24,'Tesla Automotive GP '!I32,'Tesla Automotive GP '!I40)</f>
        <v>0.17141528431156239</v>
      </c>
      <c r="J16" s="67">
        <f>CHOOSE(Drivers!$C$3,'Tesla Automotive GP '!J24,'Tesla Automotive GP '!J32,'Tesla Automotive GP '!J40)</f>
        <v>0.17141528431156239</v>
      </c>
      <c r="K16" s="67">
        <f>CHOOSE(Drivers!$C$3,'Tesla Automotive GP '!K24,'Tesla Automotive GP '!K32,'Tesla Automotive GP '!K40)</f>
        <v>0.17141528431156239</v>
      </c>
      <c r="L16" s="67">
        <f>CHOOSE(Drivers!$C$3,'Tesla Automotive GP '!L24,'Tesla Automotive GP '!L32,'Tesla Automotive GP '!L40)</f>
        <v>0.17141528431156239</v>
      </c>
      <c r="M16" s="67">
        <f>CHOOSE(Drivers!$C$3,'Tesla Automotive GP '!M24,'Tesla Automotive GP '!M32,'Tesla Automotive GP '!M40)</f>
        <v>0.17141528431156239</v>
      </c>
      <c r="N16" s="67">
        <f>CHOOSE(Drivers!$C$3,'Tesla Automotive GP '!N24,'Tesla Automotive GP '!N32,'Tesla Automotive GP '!N40)</f>
        <v>0.17141528431156239</v>
      </c>
      <c r="O16" s="67">
        <f>CHOOSE(Drivers!$C$3,'Tesla Automotive GP '!O24,'Tesla Automotive GP '!O32,'Tesla Automotive GP '!O40)</f>
        <v>0.17141528431156239</v>
      </c>
      <c r="P16" s="67">
        <f>CHOOSE(Drivers!$C$3,'Tesla Automotive GP '!P24,'Tesla Automotive GP '!P32,'Tesla Automotive GP '!P40)</f>
        <v>0.17141528431156239</v>
      </c>
      <c r="Q16" s="67">
        <f>CHOOSE(Drivers!$C$3,'Tesla Automotive GP '!Q24,'Tesla Automotive GP '!Q32,'Tesla Automotive GP '!Q40)</f>
        <v>0.17141528431156239</v>
      </c>
    </row>
    <row r="17" spans="2:17" x14ac:dyDescent="0.3">
      <c r="B17" s="63" t="s">
        <v>117</v>
      </c>
      <c r="C17" s="64"/>
      <c r="D17" s="64"/>
      <c r="E17" s="64"/>
      <c r="F17" s="64"/>
      <c r="G17" s="67">
        <f>CHOOSE(Drivers!$C$3,'Tesla Automotive GP '!G25,'Tesla Automotive GP '!G33,'Tesla Automotive GP '!G41)</f>
        <v>0.45596535458141713</v>
      </c>
      <c r="H17" s="67">
        <f>CHOOSE(Drivers!$C$3,'Tesla Automotive GP '!H25,'Tesla Automotive GP '!H33,'Tesla Automotive GP '!H41)</f>
        <v>0.45596535458141713</v>
      </c>
      <c r="I17" s="67">
        <f>CHOOSE(Drivers!$C$3,'Tesla Automotive GP '!I25,'Tesla Automotive GP '!I33,'Tesla Automotive GP '!I41)</f>
        <v>0.45596535458141713</v>
      </c>
      <c r="J17" s="67">
        <f>CHOOSE(Drivers!$C$3,'Tesla Automotive GP '!J25,'Tesla Automotive GP '!J33,'Tesla Automotive GP '!J41)</f>
        <v>0.45596535458141713</v>
      </c>
      <c r="K17" s="67">
        <f>CHOOSE(Drivers!$C$3,'Tesla Automotive GP '!K25,'Tesla Automotive GP '!K33,'Tesla Automotive GP '!K41)</f>
        <v>0.45596535458141713</v>
      </c>
      <c r="L17" s="67">
        <f>CHOOSE(Drivers!$C$3,'Tesla Automotive GP '!L25,'Tesla Automotive GP '!L33,'Tesla Automotive GP '!L41)</f>
        <v>0.45596535458141713</v>
      </c>
      <c r="M17" s="67">
        <f>CHOOSE(Drivers!$C$3,'Tesla Automotive GP '!M25,'Tesla Automotive GP '!M33,'Tesla Automotive GP '!M41)</f>
        <v>0.45596535458141713</v>
      </c>
      <c r="N17" s="67">
        <f>CHOOSE(Drivers!$C$3,'Tesla Automotive GP '!N25,'Tesla Automotive GP '!N33,'Tesla Automotive GP '!N41)</f>
        <v>0.45596535458141713</v>
      </c>
      <c r="O17" s="67">
        <f>CHOOSE(Drivers!$C$3,'Tesla Automotive GP '!O25,'Tesla Automotive GP '!O33,'Tesla Automotive GP '!O41)</f>
        <v>0.45596535458141713</v>
      </c>
      <c r="P17" s="67">
        <f>CHOOSE(Drivers!$C$3,'Tesla Automotive GP '!P25,'Tesla Automotive GP '!P33,'Tesla Automotive GP '!P41)</f>
        <v>0.45596535458141713</v>
      </c>
      <c r="Q17" s="67">
        <f>CHOOSE(Drivers!$C$3,'Tesla Automotive GP '!Q25,'Tesla Automotive GP '!Q33,'Tesla Automotive GP '!Q41)</f>
        <v>0.45596535458141713</v>
      </c>
    </row>
    <row r="18" spans="2:17" x14ac:dyDescent="0.3">
      <c r="B18" s="63" t="s">
        <v>118</v>
      </c>
      <c r="C18" s="64"/>
      <c r="D18" s="64"/>
      <c r="E18" s="64"/>
      <c r="F18" s="64"/>
      <c r="G18" s="67">
        <f>CHOOSE(Drivers!$C$3,'Tesla Automotive GP '!G26,'Tesla Automotive GP '!G34,'Tesla Automotive GP '!G42)</f>
        <v>0.17141528431156239</v>
      </c>
      <c r="H18" s="67">
        <f>CHOOSE(Drivers!$C$3,'Tesla Automotive GP '!H26,'Tesla Automotive GP '!H34,'Tesla Automotive GP '!H42)</f>
        <v>0.17141528431156239</v>
      </c>
      <c r="I18" s="67">
        <f>CHOOSE(Drivers!$C$3,'Tesla Automotive GP '!I26,'Tesla Automotive GP '!I34,'Tesla Automotive GP '!I42)</f>
        <v>0.17141528431156239</v>
      </c>
      <c r="J18" s="67">
        <f>CHOOSE(Drivers!$C$3,'Tesla Automotive GP '!J26,'Tesla Automotive GP '!J34,'Tesla Automotive GP '!J42)</f>
        <v>0.17141528431156239</v>
      </c>
      <c r="K18" s="67">
        <f>CHOOSE(Drivers!$C$3,'Tesla Automotive GP '!K26,'Tesla Automotive GP '!K34,'Tesla Automotive GP '!K42)</f>
        <v>0.17141528431156239</v>
      </c>
      <c r="L18" s="67">
        <f>CHOOSE(Drivers!$C$3,'Tesla Automotive GP '!L26,'Tesla Automotive GP '!L34,'Tesla Automotive GP '!L42)</f>
        <v>0.17141528431156239</v>
      </c>
      <c r="M18" s="67">
        <f>CHOOSE(Drivers!$C$3,'Tesla Automotive GP '!M26,'Tesla Automotive GP '!M34,'Tesla Automotive GP '!M42)</f>
        <v>0.17141528431156239</v>
      </c>
      <c r="N18" s="67">
        <f>CHOOSE(Drivers!$C$3,'Tesla Automotive GP '!N26,'Tesla Automotive GP '!N34,'Tesla Automotive GP '!N42)</f>
        <v>0.17141528431156239</v>
      </c>
      <c r="O18" s="67">
        <f>CHOOSE(Drivers!$C$3,'Tesla Automotive GP '!O26,'Tesla Automotive GP '!O34,'Tesla Automotive GP '!O42)</f>
        <v>0.17141528431156239</v>
      </c>
      <c r="P18" s="67">
        <f>CHOOSE(Drivers!$C$3,'Tesla Automotive GP '!P26,'Tesla Automotive GP '!P34,'Tesla Automotive GP '!P42)</f>
        <v>0.17141528431156239</v>
      </c>
      <c r="Q18" s="67">
        <f>CHOOSE(Drivers!$C$3,'Tesla Automotive GP '!Q26,'Tesla Automotive GP '!Q34,'Tesla Automotive GP '!Q42)</f>
        <v>0.17141528431156239</v>
      </c>
    </row>
    <row r="19" spans="2:17" x14ac:dyDescent="0.3">
      <c r="B19" s="63" t="s">
        <v>119</v>
      </c>
      <c r="C19" s="64"/>
      <c r="D19" s="64"/>
      <c r="E19" s="64"/>
      <c r="F19" s="64"/>
      <c r="G19" s="67">
        <f>CHOOSE(Drivers!$C$3,'Tesla Automotive GP '!G27,'Tesla Automotive GP '!G35,'Tesla Automotive GP '!G43)</f>
        <v>0.21715581157404629</v>
      </c>
      <c r="H19" s="67">
        <f>CHOOSE(Drivers!$C$3,'Tesla Automotive GP '!H27,'Tesla Automotive GP '!H35,'Tesla Automotive GP '!H43)</f>
        <v>0.21715581157404629</v>
      </c>
      <c r="I19" s="67">
        <f>CHOOSE(Drivers!$C$3,'Tesla Automotive GP '!I27,'Tesla Automotive GP '!I35,'Tesla Automotive GP '!I43)</f>
        <v>0.21715581157404629</v>
      </c>
      <c r="J19" s="67">
        <f>CHOOSE(Drivers!$C$3,'Tesla Automotive GP '!J27,'Tesla Automotive GP '!J35,'Tesla Automotive GP '!J43)</f>
        <v>0.21715581157404629</v>
      </c>
      <c r="K19" s="67">
        <f>CHOOSE(Drivers!$C$3,'Tesla Automotive GP '!K27,'Tesla Automotive GP '!K35,'Tesla Automotive GP '!K43)</f>
        <v>0.21715581157404629</v>
      </c>
      <c r="L19" s="67">
        <f>CHOOSE(Drivers!$C$3,'Tesla Automotive GP '!L27,'Tesla Automotive GP '!L35,'Tesla Automotive GP '!L43)</f>
        <v>0.21715581157404629</v>
      </c>
      <c r="M19" s="67">
        <f>CHOOSE(Drivers!$C$3,'Tesla Automotive GP '!M27,'Tesla Automotive GP '!M35,'Tesla Automotive GP '!M43)</f>
        <v>0.21715581157404629</v>
      </c>
      <c r="N19" s="67">
        <f>CHOOSE(Drivers!$C$3,'Tesla Automotive GP '!N27,'Tesla Automotive GP '!N35,'Tesla Automotive GP '!N43)</f>
        <v>0.21715581157404629</v>
      </c>
      <c r="O19" s="67">
        <f>CHOOSE(Drivers!$C$3,'Tesla Automotive GP '!O27,'Tesla Automotive GP '!O35,'Tesla Automotive GP '!O43)</f>
        <v>0.21715581157404629</v>
      </c>
      <c r="P19" s="67">
        <f>CHOOSE(Drivers!$C$3,'Tesla Automotive GP '!P27,'Tesla Automotive GP '!P35,'Tesla Automotive GP '!P43)</f>
        <v>0.21715581157404629</v>
      </c>
      <c r="Q19" s="67">
        <f>CHOOSE(Drivers!$C$3,'Tesla Automotive GP '!Q27,'Tesla Automotive GP '!Q35,'Tesla Automotive GP '!Q43)</f>
        <v>0.21715581157404629</v>
      </c>
    </row>
    <row r="20" spans="2:17" x14ac:dyDescent="0.3">
      <c r="B20" s="63"/>
      <c r="C20" s="64"/>
      <c r="D20" s="64"/>
      <c r="E20" s="64"/>
      <c r="F20" s="64"/>
      <c r="G20" s="64"/>
      <c r="H20" s="64"/>
      <c r="I20" s="68"/>
      <c r="J20" s="68"/>
      <c r="K20" s="68"/>
      <c r="L20" s="68"/>
      <c r="M20" s="68"/>
      <c r="N20" s="68"/>
      <c r="O20" s="68"/>
      <c r="P20" s="68"/>
      <c r="Q20" s="68"/>
    </row>
    <row r="21" spans="2:17" ht="16.2" x14ac:dyDescent="0.3">
      <c r="B21" s="7" t="s">
        <v>177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</row>
    <row r="22" spans="2:17" x14ac:dyDescent="0.3">
      <c r="B22" s="63" t="s">
        <v>114</v>
      </c>
      <c r="C22" s="64"/>
      <c r="D22" s="64"/>
      <c r="E22" s="64"/>
      <c r="F22" s="64"/>
      <c r="G22" s="67">
        <f>G30+1.5%</f>
        <v>0.23844388233531039</v>
      </c>
      <c r="H22" s="67">
        <f t="shared" ref="H22:Q22" si="1">H30+1.5%</f>
        <v>0.23844388233531039</v>
      </c>
      <c r="I22" s="67">
        <f t="shared" si="1"/>
        <v>0.23844388233531039</v>
      </c>
      <c r="J22" s="67">
        <f t="shared" si="1"/>
        <v>0.23844388233531039</v>
      </c>
      <c r="K22" s="67">
        <f t="shared" si="1"/>
        <v>0.23844388233531039</v>
      </c>
      <c r="L22" s="67">
        <f t="shared" si="1"/>
        <v>0.23844388233531039</v>
      </c>
      <c r="M22" s="67">
        <f t="shared" si="1"/>
        <v>0.23844388233531039</v>
      </c>
      <c r="N22" s="67">
        <f t="shared" si="1"/>
        <v>0.23844388233531039</v>
      </c>
      <c r="O22" s="67">
        <f t="shared" si="1"/>
        <v>0.23844388233531039</v>
      </c>
      <c r="P22" s="67">
        <f t="shared" si="1"/>
        <v>0.23844388233531039</v>
      </c>
      <c r="Q22" s="67">
        <f t="shared" si="1"/>
        <v>0.23844388233531039</v>
      </c>
    </row>
    <row r="23" spans="2:17" x14ac:dyDescent="0.3">
      <c r="B23" s="63" t="s">
        <v>115</v>
      </c>
      <c r="C23" s="64"/>
      <c r="D23" s="65"/>
      <c r="E23" s="65"/>
      <c r="F23" s="65"/>
      <c r="G23" s="67">
        <f t="shared" ref="G23:Q27" si="2">G31+1.5%</f>
        <v>0.23844388233531039</v>
      </c>
      <c r="H23" s="67">
        <f t="shared" si="2"/>
        <v>0.23844388233531039</v>
      </c>
      <c r="I23" s="67">
        <f t="shared" si="2"/>
        <v>0.23844388233531039</v>
      </c>
      <c r="J23" s="67">
        <f t="shared" si="2"/>
        <v>0.23844388233531039</v>
      </c>
      <c r="K23" s="67">
        <f t="shared" si="2"/>
        <v>0.23844388233531039</v>
      </c>
      <c r="L23" s="67">
        <f t="shared" si="2"/>
        <v>0.23844388233531039</v>
      </c>
      <c r="M23" s="67">
        <f t="shared" si="2"/>
        <v>0.23844388233531039</v>
      </c>
      <c r="N23" s="67">
        <f t="shared" si="2"/>
        <v>0.23844388233531039</v>
      </c>
      <c r="O23" s="67">
        <f t="shared" si="2"/>
        <v>0.23844388233531039</v>
      </c>
      <c r="P23" s="67">
        <f t="shared" si="2"/>
        <v>0.23844388233531039</v>
      </c>
      <c r="Q23" s="67">
        <f t="shared" si="2"/>
        <v>0.23844388233531039</v>
      </c>
    </row>
    <row r="24" spans="2:17" x14ac:dyDescent="0.3">
      <c r="B24" s="63" t="s">
        <v>116</v>
      </c>
      <c r="C24" s="64"/>
      <c r="D24" s="64"/>
      <c r="E24" s="64"/>
      <c r="F24" s="64"/>
      <c r="G24" s="67">
        <f t="shared" si="2"/>
        <v>0.17141528431156239</v>
      </c>
      <c r="H24" s="67">
        <f t="shared" si="2"/>
        <v>0.17141528431156239</v>
      </c>
      <c r="I24" s="67">
        <f t="shared" si="2"/>
        <v>0.17141528431156239</v>
      </c>
      <c r="J24" s="67">
        <f t="shared" si="2"/>
        <v>0.17141528431156239</v>
      </c>
      <c r="K24" s="67">
        <f t="shared" si="2"/>
        <v>0.17141528431156239</v>
      </c>
      <c r="L24" s="67">
        <f t="shared" si="2"/>
        <v>0.17141528431156239</v>
      </c>
      <c r="M24" s="67">
        <f t="shared" si="2"/>
        <v>0.17141528431156239</v>
      </c>
      <c r="N24" s="67">
        <f t="shared" si="2"/>
        <v>0.17141528431156239</v>
      </c>
      <c r="O24" s="67">
        <f t="shared" si="2"/>
        <v>0.17141528431156239</v>
      </c>
      <c r="P24" s="67">
        <f t="shared" si="2"/>
        <v>0.17141528431156239</v>
      </c>
      <c r="Q24" s="67">
        <f t="shared" si="2"/>
        <v>0.17141528431156239</v>
      </c>
    </row>
    <row r="25" spans="2:17" x14ac:dyDescent="0.3">
      <c r="B25" s="63" t="s">
        <v>117</v>
      </c>
      <c r="C25" s="64"/>
      <c r="D25" s="64"/>
      <c r="E25" s="64"/>
      <c r="F25" s="64"/>
      <c r="G25" s="67">
        <f t="shared" si="2"/>
        <v>0.45596535458141713</v>
      </c>
      <c r="H25" s="67">
        <f t="shared" si="2"/>
        <v>0.45596535458141713</v>
      </c>
      <c r="I25" s="67">
        <f t="shared" si="2"/>
        <v>0.45596535458141713</v>
      </c>
      <c r="J25" s="67">
        <f t="shared" si="2"/>
        <v>0.45596535458141713</v>
      </c>
      <c r="K25" s="67">
        <f t="shared" si="2"/>
        <v>0.45596535458141713</v>
      </c>
      <c r="L25" s="67">
        <f t="shared" si="2"/>
        <v>0.45596535458141713</v>
      </c>
      <c r="M25" s="67">
        <f t="shared" si="2"/>
        <v>0.45596535458141713</v>
      </c>
      <c r="N25" s="67">
        <f t="shared" si="2"/>
        <v>0.45596535458141713</v>
      </c>
      <c r="O25" s="67">
        <f t="shared" si="2"/>
        <v>0.45596535458141713</v>
      </c>
      <c r="P25" s="67">
        <f t="shared" si="2"/>
        <v>0.45596535458141713</v>
      </c>
      <c r="Q25" s="67">
        <f t="shared" si="2"/>
        <v>0.45596535458141713</v>
      </c>
    </row>
    <row r="26" spans="2:17" x14ac:dyDescent="0.3">
      <c r="B26" s="63" t="s">
        <v>118</v>
      </c>
      <c r="C26" s="64"/>
      <c r="D26" s="64"/>
      <c r="E26" s="64"/>
      <c r="F26" s="64"/>
      <c r="G26" s="67">
        <f t="shared" si="2"/>
        <v>0.17141528431156239</v>
      </c>
      <c r="H26" s="67">
        <f t="shared" si="2"/>
        <v>0.17141528431156239</v>
      </c>
      <c r="I26" s="67">
        <f t="shared" si="2"/>
        <v>0.17141528431156239</v>
      </c>
      <c r="J26" s="67">
        <f t="shared" si="2"/>
        <v>0.17141528431156239</v>
      </c>
      <c r="K26" s="67">
        <f t="shared" si="2"/>
        <v>0.17141528431156239</v>
      </c>
      <c r="L26" s="67">
        <f t="shared" si="2"/>
        <v>0.17141528431156239</v>
      </c>
      <c r="M26" s="67">
        <f t="shared" si="2"/>
        <v>0.17141528431156239</v>
      </c>
      <c r="N26" s="67">
        <f t="shared" si="2"/>
        <v>0.17141528431156239</v>
      </c>
      <c r="O26" s="67">
        <f t="shared" si="2"/>
        <v>0.17141528431156239</v>
      </c>
      <c r="P26" s="67">
        <f t="shared" si="2"/>
        <v>0.17141528431156239</v>
      </c>
      <c r="Q26" s="67">
        <f t="shared" si="2"/>
        <v>0.17141528431156239</v>
      </c>
    </row>
    <row r="27" spans="2:17" x14ac:dyDescent="0.3">
      <c r="B27" s="63" t="s">
        <v>119</v>
      </c>
      <c r="C27" s="64"/>
      <c r="D27" s="64"/>
      <c r="E27" s="64"/>
      <c r="F27" s="64"/>
      <c r="G27" s="67">
        <f t="shared" si="2"/>
        <v>0.21715581157404629</v>
      </c>
      <c r="H27" s="67">
        <f t="shared" si="2"/>
        <v>0.21715581157404629</v>
      </c>
      <c r="I27" s="67">
        <f t="shared" si="2"/>
        <v>0.21715581157404629</v>
      </c>
      <c r="J27" s="67">
        <f t="shared" si="2"/>
        <v>0.21715581157404629</v>
      </c>
      <c r="K27" s="67">
        <f t="shared" si="2"/>
        <v>0.21715581157404629</v>
      </c>
      <c r="L27" s="67">
        <f t="shared" si="2"/>
        <v>0.21715581157404629</v>
      </c>
      <c r="M27" s="67">
        <f t="shared" si="2"/>
        <v>0.21715581157404629</v>
      </c>
      <c r="N27" s="67">
        <f t="shared" si="2"/>
        <v>0.21715581157404629</v>
      </c>
      <c r="O27" s="67">
        <f t="shared" si="2"/>
        <v>0.21715581157404629</v>
      </c>
      <c r="P27" s="67">
        <f t="shared" si="2"/>
        <v>0.21715581157404629</v>
      </c>
      <c r="Q27" s="67">
        <f t="shared" si="2"/>
        <v>0.21715581157404629</v>
      </c>
    </row>
    <row r="28" spans="2:17" x14ac:dyDescent="0.3">
      <c r="B28" s="63"/>
      <c r="C28" s="64"/>
      <c r="D28" s="64"/>
      <c r="E28" s="64"/>
      <c r="F28" s="64"/>
      <c r="G28" s="64"/>
      <c r="H28" s="64"/>
      <c r="I28" s="68"/>
      <c r="J28" s="68"/>
      <c r="K28" s="68"/>
      <c r="L28" s="68"/>
      <c r="M28" s="68"/>
      <c r="N28" s="68"/>
      <c r="O28" s="68"/>
      <c r="P28" s="68"/>
      <c r="Q28" s="68"/>
    </row>
    <row r="29" spans="2:17" ht="16.2" x14ac:dyDescent="0.3">
      <c r="B29" s="7" t="s">
        <v>178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</row>
    <row r="30" spans="2:17" x14ac:dyDescent="0.3">
      <c r="B30" s="63" t="s">
        <v>114</v>
      </c>
      <c r="C30" s="64"/>
      <c r="D30" s="64"/>
      <c r="E30" s="64"/>
      <c r="F30" s="64"/>
      <c r="G30" s="67">
        <f>'Tesla Automotivo GP% '!$H6</f>
        <v>0.2234438823353104</v>
      </c>
      <c r="H30" s="67">
        <f>'Tesla Automotivo GP% '!$H6</f>
        <v>0.2234438823353104</v>
      </c>
      <c r="I30" s="67">
        <f>'Tesla Automotivo GP% '!$H6</f>
        <v>0.2234438823353104</v>
      </c>
      <c r="J30" s="67">
        <f>'Tesla Automotivo GP% '!$H6</f>
        <v>0.2234438823353104</v>
      </c>
      <c r="K30" s="67">
        <f>'Tesla Automotivo GP% '!$H6</f>
        <v>0.2234438823353104</v>
      </c>
      <c r="L30" s="67">
        <f>'Tesla Automotivo GP% '!$H6</f>
        <v>0.2234438823353104</v>
      </c>
      <c r="M30" s="67">
        <f>'Tesla Automotivo GP% '!$H6</f>
        <v>0.2234438823353104</v>
      </c>
      <c r="N30" s="67">
        <f>'Tesla Automotivo GP% '!$H6</f>
        <v>0.2234438823353104</v>
      </c>
      <c r="O30" s="67">
        <f>'Tesla Automotivo GP% '!$H6</f>
        <v>0.2234438823353104</v>
      </c>
      <c r="P30" s="67">
        <f>'Tesla Automotivo GP% '!$H6</f>
        <v>0.2234438823353104</v>
      </c>
      <c r="Q30" s="67">
        <f>'Tesla Automotivo GP% '!$H6</f>
        <v>0.2234438823353104</v>
      </c>
    </row>
    <row r="31" spans="2:17" x14ac:dyDescent="0.3">
      <c r="B31" s="63" t="s">
        <v>115</v>
      </c>
      <c r="C31" s="64"/>
      <c r="D31" s="65"/>
      <c r="E31" s="65"/>
      <c r="F31" s="65"/>
      <c r="G31" s="67">
        <f>'Tesla Automotivo GP% '!$H7</f>
        <v>0.2234438823353104</v>
      </c>
      <c r="H31" s="67">
        <f>'Tesla Automotivo GP% '!$H7</f>
        <v>0.2234438823353104</v>
      </c>
      <c r="I31" s="67">
        <f>'Tesla Automotivo GP% '!$H7</f>
        <v>0.2234438823353104</v>
      </c>
      <c r="J31" s="67">
        <f>'Tesla Automotivo GP% '!$H7</f>
        <v>0.2234438823353104</v>
      </c>
      <c r="K31" s="67">
        <f>'Tesla Automotivo GP% '!$H7</f>
        <v>0.2234438823353104</v>
      </c>
      <c r="L31" s="67">
        <f>'Tesla Automotivo GP% '!$H7</f>
        <v>0.2234438823353104</v>
      </c>
      <c r="M31" s="67">
        <f>'Tesla Automotivo GP% '!$H7</f>
        <v>0.2234438823353104</v>
      </c>
      <c r="N31" s="67">
        <f>'Tesla Automotivo GP% '!$H7</f>
        <v>0.2234438823353104</v>
      </c>
      <c r="O31" s="67">
        <f>'Tesla Automotivo GP% '!$H7</f>
        <v>0.2234438823353104</v>
      </c>
      <c r="P31" s="67">
        <f>'Tesla Automotivo GP% '!$H7</f>
        <v>0.2234438823353104</v>
      </c>
      <c r="Q31" s="67">
        <f>'Tesla Automotivo GP% '!$H7</f>
        <v>0.2234438823353104</v>
      </c>
    </row>
    <row r="32" spans="2:17" x14ac:dyDescent="0.3">
      <c r="B32" s="63" t="s">
        <v>116</v>
      </c>
      <c r="C32" s="64"/>
      <c r="D32" s="64"/>
      <c r="E32" s="64"/>
      <c r="F32" s="64"/>
      <c r="G32" s="67">
        <f>'Tesla Automotivo GP% '!$H8</f>
        <v>0.15641528431156237</v>
      </c>
      <c r="H32" s="67">
        <f>'Tesla Automotivo GP% '!$H8</f>
        <v>0.15641528431156237</v>
      </c>
      <c r="I32" s="67">
        <f>'Tesla Automotivo GP% '!$H8</f>
        <v>0.15641528431156237</v>
      </c>
      <c r="J32" s="67">
        <f>'Tesla Automotivo GP% '!$H8</f>
        <v>0.15641528431156237</v>
      </c>
      <c r="K32" s="67">
        <f>'Tesla Automotivo GP% '!$H8</f>
        <v>0.15641528431156237</v>
      </c>
      <c r="L32" s="67">
        <f>'Tesla Automotivo GP% '!$H8</f>
        <v>0.15641528431156237</v>
      </c>
      <c r="M32" s="67">
        <f>'Tesla Automotivo GP% '!$H8</f>
        <v>0.15641528431156237</v>
      </c>
      <c r="N32" s="67">
        <f>'Tesla Automotivo GP% '!$H8</f>
        <v>0.15641528431156237</v>
      </c>
      <c r="O32" s="67">
        <f>'Tesla Automotivo GP% '!$H8</f>
        <v>0.15641528431156237</v>
      </c>
      <c r="P32" s="67">
        <f>'Tesla Automotivo GP% '!$H8</f>
        <v>0.15641528431156237</v>
      </c>
      <c r="Q32" s="67">
        <f>'Tesla Automotivo GP% '!$H8</f>
        <v>0.15641528431156237</v>
      </c>
    </row>
    <row r="33" spans="2:17" x14ac:dyDescent="0.3">
      <c r="B33" s="63" t="s">
        <v>117</v>
      </c>
      <c r="C33" s="64"/>
      <c r="D33" s="64"/>
      <c r="E33" s="64"/>
      <c r="F33" s="64"/>
      <c r="G33" s="67">
        <f>'Tesla Automotivo GP% '!$H9</f>
        <v>0.44096535458141711</v>
      </c>
      <c r="H33" s="67">
        <f>'Tesla Automotivo GP% '!$H9</f>
        <v>0.44096535458141711</v>
      </c>
      <c r="I33" s="67">
        <f>'Tesla Automotivo GP% '!$H9</f>
        <v>0.44096535458141711</v>
      </c>
      <c r="J33" s="67">
        <f>'Tesla Automotivo GP% '!$H9</f>
        <v>0.44096535458141711</v>
      </c>
      <c r="K33" s="67">
        <f>'Tesla Automotivo GP% '!$H9</f>
        <v>0.44096535458141711</v>
      </c>
      <c r="L33" s="67">
        <f>'Tesla Automotivo GP% '!$H9</f>
        <v>0.44096535458141711</v>
      </c>
      <c r="M33" s="67">
        <f>'Tesla Automotivo GP% '!$H9</f>
        <v>0.44096535458141711</v>
      </c>
      <c r="N33" s="67">
        <f>'Tesla Automotivo GP% '!$H9</f>
        <v>0.44096535458141711</v>
      </c>
      <c r="O33" s="67">
        <f>'Tesla Automotivo GP% '!$H9</f>
        <v>0.44096535458141711</v>
      </c>
      <c r="P33" s="67">
        <f>'Tesla Automotivo GP% '!$H9</f>
        <v>0.44096535458141711</v>
      </c>
      <c r="Q33" s="67">
        <f>'Tesla Automotivo GP% '!$H9</f>
        <v>0.44096535458141711</v>
      </c>
    </row>
    <row r="34" spans="2:17" x14ac:dyDescent="0.3">
      <c r="B34" s="63" t="s">
        <v>118</v>
      </c>
      <c r="C34" s="64"/>
      <c r="D34" s="64"/>
      <c r="E34" s="64"/>
      <c r="F34" s="64"/>
      <c r="G34" s="67">
        <f>'Tesla Automotivo GP% '!$H10</f>
        <v>0.15641528431156237</v>
      </c>
      <c r="H34" s="67">
        <f>'Tesla Automotivo GP% '!$H10</f>
        <v>0.15641528431156237</v>
      </c>
      <c r="I34" s="67">
        <f>'Tesla Automotivo GP% '!$H10</f>
        <v>0.15641528431156237</v>
      </c>
      <c r="J34" s="67">
        <f>'Tesla Automotivo GP% '!$H10</f>
        <v>0.15641528431156237</v>
      </c>
      <c r="K34" s="67">
        <f>'Tesla Automotivo GP% '!$H10</f>
        <v>0.15641528431156237</v>
      </c>
      <c r="L34" s="67">
        <f>'Tesla Automotivo GP% '!$H10</f>
        <v>0.15641528431156237</v>
      </c>
      <c r="M34" s="67">
        <f>'Tesla Automotivo GP% '!$H10</f>
        <v>0.15641528431156237</v>
      </c>
      <c r="N34" s="67">
        <f>'Tesla Automotivo GP% '!$H10</f>
        <v>0.15641528431156237</v>
      </c>
      <c r="O34" s="67">
        <f>'Tesla Automotivo GP% '!$H10</f>
        <v>0.15641528431156237</v>
      </c>
      <c r="P34" s="67">
        <f>'Tesla Automotivo GP% '!$H10</f>
        <v>0.15641528431156237</v>
      </c>
      <c r="Q34" s="67">
        <f>'Tesla Automotivo GP% '!$H10</f>
        <v>0.15641528431156237</v>
      </c>
    </row>
    <row r="35" spans="2:17" x14ac:dyDescent="0.3">
      <c r="B35" s="63" t="s">
        <v>119</v>
      </c>
      <c r="C35" s="64"/>
      <c r="D35" s="64"/>
      <c r="E35" s="64"/>
      <c r="F35" s="64"/>
      <c r="G35" s="67">
        <f>'Tesla Automotivo GP% '!$H11</f>
        <v>0.2021558115740463</v>
      </c>
      <c r="H35" s="67">
        <f>'Tesla Automotivo GP% '!$H11</f>
        <v>0.2021558115740463</v>
      </c>
      <c r="I35" s="67">
        <f>'Tesla Automotivo GP% '!$H11</f>
        <v>0.2021558115740463</v>
      </c>
      <c r="J35" s="67">
        <f>'Tesla Automotivo GP% '!$H11</f>
        <v>0.2021558115740463</v>
      </c>
      <c r="K35" s="67">
        <f>'Tesla Automotivo GP% '!$H11</f>
        <v>0.2021558115740463</v>
      </c>
      <c r="L35" s="67">
        <f>'Tesla Automotivo GP% '!$H11</f>
        <v>0.2021558115740463</v>
      </c>
      <c r="M35" s="67">
        <f>'Tesla Automotivo GP% '!$H11</f>
        <v>0.2021558115740463</v>
      </c>
      <c r="N35" s="67">
        <f>'Tesla Automotivo GP% '!$H11</f>
        <v>0.2021558115740463</v>
      </c>
      <c r="O35" s="67">
        <f>'Tesla Automotivo GP% '!$H11</f>
        <v>0.2021558115740463</v>
      </c>
      <c r="P35" s="67">
        <f>'Tesla Automotivo GP% '!$H11</f>
        <v>0.2021558115740463</v>
      </c>
      <c r="Q35" s="67">
        <f>'Tesla Automotivo GP% '!$H11</f>
        <v>0.2021558115740463</v>
      </c>
    </row>
    <row r="36" spans="2:17" x14ac:dyDescent="0.3">
      <c r="B36" s="63"/>
      <c r="C36" s="64"/>
      <c r="D36" s="64"/>
      <c r="E36" s="64"/>
      <c r="F36" s="64"/>
      <c r="G36" s="64"/>
      <c r="H36" s="64"/>
      <c r="I36" s="68"/>
      <c r="J36" s="68"/>
      <c r="K36" s="68"/>
      <c r="L36" s="68"/>
      <c r="M36" s="68"/>
      <c r="N36" s="68"/>
      <c r="O36" s="68"/>
      <c r="P36" s="68"/>
      <c r="Q36" s="68"/>
    </row>
    <row r="37" spans="2:17" ht="16.2" x14ac:dyDescent="0.3">
      <c r="B37" s="7" t="s">
        <v>179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</row>
    <row r="38" spans="2:17" x14ac:dyDescent="0.3">
      <c r="B38" s="63" t="s">
        <v>114</v>
      </c>
      <c r="C38" s="64"/>
      <c r="D38" s="64"/>
      <c r="E38" s="64"/>
      <c r="F38" s="64"/>
      <c r="G38" s="67">
        <f>G30-1.5%</f>
        <v>0.20844388233531042</v>
      </c>
      <c r="H38" s="67">
        <f t="shared" ref="H38:Q38" si="3">H30-1.5%</f>
        <v>0.20844388233531042</v>
      </c>
      <c r="I38" s="67">
        <f t="shared" si="3"/>
        <v>0.20844388233531042</v>
      </c>
      <c r="J38" s="67">
        <f t="shared" si="3"/>
        <v>0.20844388233531042</v>
      </c>
      <c r="K38" s="67">
        <f t="shared" si="3"/>
        <v>0.20844388233531042</v>
      </c>
      <c r="L38" s="67">
        <f t="shared" si="3"/>
        <v>0.20844388233531042</v>
      </c>
      <c r="M38" s="67">
        <f t="shared" si="3"/>
        <v>0.20844388233531042</v>
      </c>
      <c r="N38" s="67">
        <f t="shared" si="3"/>
        <v>0.20844388233531042</v>
      </c>
      <c r="O38" s="67">
        <f t="shared" si="3"/>
        <v>0.20844388233531042</v>
      </c>
      <c r="P38" s="67">
        <f t="shared" si="3"/>
        <v>0.20844388233531042</v>
      </c>
      <c r="Q38" s="67">
        <f t="shared" si="3"/>
        <v>0.20844388233531042</v>
      </c>
    </row>
    <row r="39" spans="2:17" x14ac:dyDescent="0.3">
      <c r="B39" s="63" t="s">
        <v>115</v>
      </c>
      <c r="C39" s="64"/>
      <c r="D39" s="65"/>
      <c r="E39" s="65"/>
      <c r="F39" s="65"/>
      <c r="G39" s="67">
        <f t="shared" ref="G39:Q43" si="4">G31-1.5%</f>
        <v>0.20844388233531042</v>
      </c>
      <c r="H39" s="67">
        <f t="shared" si="4"/>
        <v>0.20844388233531042</v>
      </c>
      <c r="I39" s="67">
        <f t="shared" si="4"/>
        <v>0.20844388233531042</v>
      </c>
      <c r="J39" s="67">
        <f t="shared" si="4"/>
        <v>0.20844388233531042</v>
      </c>
      <c r="K39" s="67">
        <f t="shared" si="4"/>
        <v>0.20844388233531042</v>
      </c>
      <c r="L39" s="67">
        <f t="shared" si="4"/>
        <v>0.20844388233531042</v>
      </c>
      <c r="M39" s="67">
        <f t="shared" si="4"/>
        <v>0.20844388233531042</v>
      </c>
      <c r="N39" s="67">
        <f t="shared" si="4"/>
        <v>0.20844388233531042</v>
      </c>
      <c r="O39" s="67">
        <f t="shared" si="4"/>
        <v>0.20844388233531042</v>
      </c>
      <c r="P39" s="67">
        <f t="shared" si="4"/>
        <v>0.20844388233531042</v>
      </c>
      <c r="Q39" s="67">
        <f t="shared" si="4"/>
        <v>0.20844388233531042</v>
      </c>
    </row>
    <row r="40" spans="2:17" x14ac:dyDescent="0.3">
      <c r="B40" s="63" t="s">
        <v>116</v>
      </c>
      <c r="C40" s="64"/>
      <c r="D40" s="64"/>
      <c r="E40" s="64"/>
      <c r="F40" s="64"/>
      <c r="G40" s="67">
        <f t="shared" si="4"/>
        <v>0.14141528431156236</v>
      </c>
      <c r="H40" s="67">
        <f t="shared" si="4"/>
        <v>0.14141528431156236</v>
      </c>
      <c r="I40" s="67">
        <f t="shared" si="4"/>
        <v>0.14141528431156236</v>
      </c>
      <c r="J40" s="67">
        <f t="shared" si="4"/>
        <v>0.14141528431156236</v>
      </c>
      <c r="K40" s="67">
        <f t="shared" si="4"/>
        <v>0.14141528431156236</v>
      </c>
      <c r="L40" s="67">
        <f t="shared" si="4"/>
        <v>0.14141528431156236</v>
      </c>
      <c r="M40" s="67">
        <f t="shared" si="4"/>
        <v>0.14141528431156236</v>
      </c>
      <c r="N40" s="67">
        <f t="shared" si="4"/>
        <v>0.14141528431156236</v>
      </c>
      <c r="O40" s="67">
        <f t="shared" si="4"/>
        <v>0.14141528431156236</v>
      </c>
      <c r="P40" s="67">
        <f t="shared" si="4"/>
        <v>0.14141528431156236</v>
      </c>
      <c r="Q40" s="67">
        <f t="shared" si="4"/>
        <v>0.14141528431156236</v>
      </c>
    </row>
    <row r="41" spans="2:17" x14ac:dyDescent="0.3">
      <c r="B41" s="63" t="s">
        <v>117</v>
      </c>
      <c r="C41" s="64"/>
      <c r="D41" s="64"/>
      <c r="E41" s="64"/>
      <c r="F41" s="64"/>
      <c r="G41" s="67">
        <f t="shared" si="4"/>
        <v>0.4259653545814171</v>
      </c>
      <c r="H41" s="67">
        <f t="shared" si="4"/>
        <v>0.4259653545814171</v>
      </c>
      <c r="I41" s="67">
        <f t="shared" si="4"/>
        <v>0.4259653545814171</v>
      </c>
      <c r="J41" s="67">
        <f t="shared" si="4"/>
        <v>0.4259653545814171</v>
      </c>
      <c r="K41" s="67">
        <f t="shared" si="4"/>
        <v>0.4259653545814171</v>
      </c>
      <c r="L41" s="67">
        <f t="shared" si="4"/>
        <v>0.4259653545814171</v>
      </c>
      <c r="M41" s="67">
        <f t="shared" si="4"/>
        <v>0.4259653545814171</v>
      </c>
      <c r="N41" s="67">
        <f t="shared" si="4"/>
        <v>0.4259653545814171</v>
      </c>
      <c r="O41" s="67">
        <f t="shared" si="4"/>
        <v>0.4259653545814171</v>
      </c>
      <c r="P41" s="67">
        <f t="shared" si="4"/>
        <v>0.4259653545814171</v>
      </c>
      <c r="Q41" s="67">
        <f t="shared" si="4"/>
        <v>0.4259653545814171</v>
      </c>
    </row>
    <row r="42" spans="2:17" x14ac:dyDescent="0.3">
      <c r="B42" s="63" t="s">
        <v>118</v>
      </c>
      <c r="C42" s="64"/>
      <c r="D42" s="64"/>
      <c r="E42" s="64"/>
      <c r="F42" s="64"/>
      <c r="G42" s="67">
        <f t="shared" si="4"/>
        <v>0.14141528431156236</v>
      </c>
      <c r="H42" s="67">
        <f t="shared" si="4"/>
        <v>0.14141528431156236</v>
      </c>
      <c r="I42" s="67">
        <f t="shared" si="4"/>
        <v>0.14141528431156236</v>
      </c>
      <c r="J42" s="67">
        <f t="shared" si="4"/>
        <v>0.14141528431156236</v>
      </c>
      <c r="K42" s="67">
        <f t="shared" si="4"/>
        <v>0.14141528431156236</v>
      </c>
      <c r="L42" s="67">
        <f t="shared" si="4"/>
        <v>0.14141528431156236</v>
      </c>
      <c r="M42" s="67">
        <f t="shared" si="4"/>
        <v>0.14141528431156236</v>
      </c>
      <c r="N42" s="67">
        <f t="shared" si="4"/>
        <v>0.14141528431156236</v>
      </c>
      <c r="O42" s="67">
        <f t="shared" si="4"/>
        <v>0.14141528431156236</v>
      </c>
      <c r="P42" s="67">
        <f t="shared" si="4"/>
        <v>0.14141528431156236</v>
      </c>
      <c r="Q42" s="67">
        <f t="shared" si="4"/>
        <v>0.14141528431156236</v>
      </c>
    </row>
    <row r="43" spans="2:17" x14ac:dyDescent="0.3">
      <c r="B43" s="63" t="s">
        <v>119</v>
      </c>
      <c r="C43" s="64"/>
      <c r="D43" s="64"/>
      <c r="E43" s="64"/>
      <c r="F43" s="64"/>
      <c r="G43" s="67">
        <f t="shared" si="4"/>
        <v>0.18715581157404632</v>
      </c>
      <c r="H43" s="67">
        <f t="shared" si="4"/>
        <v>0.18715581157404632</v>
      </c>
      <c r="I43" s="67">
        <f t="shared" si="4"/>
        <v>0.18715581157404632</v>
      </c>
      <c r="J43" s="67">
        <f t="shared" si="4"/>
        <v>0.18715581157404632</v>
      </c>
      <c r="K43" s="67">
        <f t="shared" si="4"/>
        <v>0.18715581157404632</v>
      </c>
      <c r="L43" s="67">
        <f t="shared" si="4"/>
        <v>0.18715581157404632</v>
      </c>
      <c r="M43" s="67">
        <f t="shared" si="4"/>
        <v>0.18715581157404632</v>
      </c>
      <c r="N43" s="67">
        <f t="shared" si="4"/>
        <v>0.18715581157404632</v>
      </c>
      <c r="O43" s="67">
        <f t="shared" si="4"/>
        <v>0.18715581157404632</v>
      </c>
      <c r="P43" s="67">
        <f t="shared" si="4"/>
        <v>0.18715581157404632</v>
      </c>
      <c r="Q43" s="67">
        <f t="shared" si="4"/>
        <v>0.18715581157404632</v>
      </c>
    </row>
    <row r="44" spans="2:17" x14ac:dyDescent="0.3">
      <c r="B44" s="63"/>
      <c r="C44" s="64"/>
      <c r="D44" s="64"/>
      <c r="E44" s="64"/>
      <c r="F44" s="64"/>
      <c r="G44" s="63"/>
      <c r="H44" s="64"/>
      <c r="I44" s="68"/>
      <c r="J44" s="68"/>
      <c r="K44" s="68"/>
      <c r="L44" s="68"/>
      <c r="M44" s="68"/>
      <c r="N44" s="68"/>
      <c r="O44" s="68"/>
      <c r="P44" s="68"/>
      <c r="Q44" s="68"/>
    </row>
  </sheetData>
  <mergeCells count="1">
    <mergeCell ref="B3:Q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21EC-2759-449C-9A09-FA75F343FB11}">
  <dimension ref="A1:Q11"/>
  <sheetViews>
    <sheetView workbookViewId="0"/>
  </sheetViews>
  <sheetFormatPr defaultColWidth="9.109375" defaultRowHeight="15.6" x14ac:dyDescent="0.3"/>
  <cols>
    <col min="1" max="1" width="2" style="6" customWidth="1"/>
    <col min="2" max="2" width="15.109375" style="6" customWidth="1"/>
    <col min="3" max="4" width="11.44140625" style="6" bestFit="1" customWidth="1"/>
    <col min="5" max="5" width="9.21875" style="6" bestFit="1" customWidth="1"/>
    <col min="6" max="6" width="11.5546875" style="6" bestFit="1" customWidth="1"/>
    <col min="7" max="7" width="10.33203125" style="6" customWidth="1"/>
    <col min="8" max="8" width="10.44140625" style="6" bestFit="1" customWidth="1"/>
    <col min="9" max="12" width="10.5546875" style="6" bestFit="1" customWidth="1"/>
    <col min="13" max="17" width="10.109375" style="6" bestFit="1" customWidth="1"/>
    <col min="18" max="16384" width="9.109375" style="6"/>
  </cols>
  <sheetData>
    <row r="1" spans="1:17" ht="21" x14ac:dyDescent="0.3">
      <c r="A1" s="55"/>
      <c r="B1" s="16" t="s">
        <v>352</v>
      </c>
    </row>
    <row r="2" spans="1:17" ht="16.2" x14ac:dyDescent="0.3">
      <c r="A2" s="55"/>
      <c r="B2" s="4"/>
    </row>
    <row r="3" spans="1:17" ht="16.2" x14ac:dyDescent="0.3">
      <c r="B3" s="265" t="s">
        <v>194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</row>
    <row r="4" spans="1:17" ht="32.4" x14ac:dyDescent="0.3">
      <c r="B4" s="56" t="s">
        <v>103</v>
      </c>
      <c r="C4" s="19" t="s">
        <v>17</v>
      </c>
      <c r="D4" s="19" t="s">
        <v>18</v>
      </c>
      <c r="E4" s="19" t="s">
        <v>19</v>
      </c>
      <c r="F4" s="19" t="s">
        <v>20</v>
      </c>
      <c r="G4" s="19" t="s">
        <v>21</v>
      </c>
      <c r="H4" s="57" t="s">
        <v>104</v>
      </c>
      <c r="I4" s="57" t="s">
        <v>105</v>
      </c>
      <c r="J4" s="57" t="s">
        <v>106</v>
      </c>
      <c r="K4" s="57" t="s">
        <v>107</v>
      </c>
      <c r="L4" s="57" t="s">
        <v>108</v>
      </c>
      <c r="M4" s="57" t="s">
        <v>109</v>
      </c>
      <c r="N4" s="57" t="s">
        <v>110</v>
      </c>
      <c r="O4" s="57" t="s">
        <v>111</v>
      </c>
      <c r="P4" s="57" t="s">
        <v>112</v>
      </c>
      <c r="Q4" s="57" t="s">
        <v>113</v>
      </c>
    </row>
    <row r="5" spans="1:17" x14ac:dyDescent="0.3">
      <c r="B5" s="6" t="s">
        <v>114</v>
      </c>
      <c r="C5" s="20" t="s">
        <v>122</v>
      </c>
      <c r="D5" s="20" t="s">
        <v>122</v>
      </c>
      <c r="E5" s="20" t="s">
        <v>122</v>
      </c>
      <c r="F5" s="20" t="s">
        <v>122</v>
      </c>
      <c r="G5" s="20" t="s">
        <v>122</v>
      </c>
      <c r="H5" s="84">
        <f>-('Tesla Revenue Automotive'!H5-'Tesla Automotive GP '!H5)</f>
        <v>-20247.596604463142</v>
      </c>
      <c r="I5" s="84">
        <f>-('Tesla Revenue Automotive'!I5-'Tesla Automotive GP '!I5)</f>
        <v>-22272.35626490946</v>
      </c>
      <c r="J5" s="84">
        <f>-('Tesla Revenue Automotive'!J5-'Tesla Automotive GP '!J5)</f>
        <v>-24499.591891400407</v>
      </c>
      <c r="K5" s="84">
        <f>-('Tesla Revenue Automotive'!K5-'Tesla Automotive GP '!K5)</f>
        <v>-26459.559242712436</v>
      </c>
      <c r="L5" s="84">
        <f>-('Tesla Revenue Automotive'!L5-'Tesla Automotive GP '!L5)</f>
        <v>-28576.323982129434</v>
      </c>
      <c r="M5" s="84">
        <f>-('Tesla Revenue Automotive'!M5-'Tesla Automotive GP '!M5)</f>
        <v>-29719.376941414623</v>
      </c>
      <c r="N5" s="84">
        <f>-('Tesla Revenue Automotive'!N5-'Tesla Automotive GP '!N5)</f>
        <v>-30908.152019071196</v>
      </c>
      <c r="O5" s="84">
        <f>-('Tesla Revenue Automotive'!O5-'Tesla Automotive GP '!O5)</f>
        <v>-32144.47809983405</v>
      </c>
      <c r="P5" s="84">
        <f>-('Tesla Revenue Automotive'!P5-'Tesla Automotive GP '!P5)</f>
        <v>-33430.257223827415</v>
      </c>
      <c r="Q5" s="84">
        <f>-('Tesla Revenue Automotive'!Q5-'Tesla Automotive GP '!Q5)</f>
        <v>-34767.467512780509</v>
      </c>
    </row>
    <row r="6" spans="1:17" x14ac:dyDescent="0.3">
      <c r="B6" s="6" t="s">
        <v>115</v>
      </c>
      <c r="C6" s="20" t="s">
        <v>122</v>
      </c>
      <c r="D6" s="20" t="s">
        <v>122</v>
      </c>
      <c r="E6" s="20" t="s">
        <v>122</v>
      </c>
      <c r="F6" s="20" t="s">
        <v>122</v>
      </c>
      <c r="G6" s="20" t="s">
        <v>122</v>
      </c>
      <c r="H6" s="84">
        <f>-('Tesla Revenue Automotive'!H6-'Tesla Automotive GP '!H6)</f>
        <v>-5473.0451394479351</v>
      </c>
      <c r="I6" s="84">
        <f>-('Tesla Revenue Automotive'!I6-'Tesla Automotive GP '!I6)</f>
        <v>-5691.9669450258534</v>
      </c>
      <c r="J6" s="84">
        <f>-('Tesla Revenue Automotive'!J6-'Tesla Automotive GP '!J6)</f>
        <v>-5919.6456228268871</v>
      </c>
      <c r="K6" s="84">
        <f>-('Tesla Revenue Automotive'!K6-'Tesla Automotive GP '!K6)</f>
        <v>-6156.4314477399639</v>
      </c>
      <c r="L6" s="84">
        <f>-('Tesla Revenue Automotive'!L6-'Tesla Automotive GP '!L6)</f>
        <v>-6402.6887056495625</v>
      </c>
      <c r="M6" s="84">
        <f>-('Tesla Revenue Automotive'!M6-'Tesla Automotive GP '!M6)</f>
        <v>-6658.7962538755455</v>
      </c>
      <c r="N6" s="84">
        <f>-('Tesla Revenue Automotive'!N6-'Tesla Automotive GP '!N6)</f>
        <v>-6925.1481040305662</v>
      </c>
      <c r="O6" s="84">
        <f>-('Tesla Revenue Automotive'!O6-'Tesla Automotive GP '!O6)</f>
        <v>-7202.1540281917896</v>
      </c>
      <c r="P6" s="84">
        <f>-('Tesla Revenue Automotive'!P6-'Tesla Automotive GP '!P6)</f>
        <v>-7490.2401893194619</v>
      </c>
      <c r="Q6" s="84">
        <f>-('Tesla Revenue Automotive'!Q6-'Tesla Automotive GP '!Q6)</f>
        <v>-7789.8497968922402</v>
      </c>
    </row>
    <row r="7" spans="1:17" x14ac:dyDescent="0.3">
      <c r="B7" s="6" t="s">
        <v>116</v>
      </c>
      <c r="C7" s="20">
        <v>0</v>
      </c>
      <c r="D7" s="20">
        <v>0</v>
      </c>
      <c r="E7" s="20">
        <v>0</v>
      </c>
      <c r="F7" s="20">
        <v>0</v>
      </c>
      <c r="G7" s="51">
        <f>-('Tesla Revenue Automotive'!G7-'Tesla Automotive GP '!G7)</f>
        <v>0</v>
      </c>
      <c r="H7" s="84">
        <f>-('Tesla Revenue Automotive'!H7-'Tesla Automotive GP '!H7)</f>
        <v>-90.942210341877413</v>
      </c>
      <c r="I7" s="84">
        <f>-('Tesla Revenue Automotive'!I7-'Tesla Automotive GP '!I7)</f>
        <v>-7529.7984872352081</v>
      </c>
      <c r="J7" s="84">
        <f>-('Tesla Revenue Automotive'!J7-'Tesla Automotive GP '!J7)</f>
        <v>-15508.379253963634</v>
      </c>
      <c r="K7" s="84">
        <f>-('Tesla Revenue Automotive'!K7-'Tesla Automotive GP '!K7)</f>
        <v>-24813.406806341816</v>
      </c>
      <c r="L7" s="84">
        <f>-('Tesla Revenue Automotive'!L7-'Tesla Automotive GP '!L7)</f>
        <v>-27294.747486975997</v>
      </c>
      <c r="M7" s="84">
        <f>-('Tesla Revenue Automotive'!M7-'Tesla Automotive GP '!M7)</f>
        <v>-30024.222235673606</v>
      </c>
      <c r="N7" s="84">
        <f>-('Tesla Revenue Automotive'!N7-'Tesla Automotive GP '!N7)</f>
        <v>-32426.160014527501</v>
      </c>
      <c r="O7" s="84">
        <f>-('Tesla Revenue Automotive'!O7-'Tesla Automotive GP '!O7)</f>
        <v>-35020.252815689688</v>
      </c>
      <c r="P7" s="84">
        <f>-('Tesla Revenue Automotive'!P7-'Tesla Automotive GP '!P7)</f>
        <v>-36421.062928317289</v>
      </c>
      <c r="Q7" s="84">
        <f>-('Tesla Revenue Automotive'!Q7-'Tesla Automotive GP '!Q7)</f>
        <v>-37877.905445449986</v>
      </c>
    </row>
    <row r="8" spans="1:17" x14ac:dyDescent="0.3">
      <c r="B8" s="6" t="s">
        <v>117</v>
      </c>
      <c r="C8" s="20">
        <v>0</v>
      </c>
      <c r="D8" s="20">
        <v>0</v>
      </c>
      <c r="E8" s="20">
        <v>0</v>
      </c>
      <c r="F8" s="20">
        <v>0</v>
      </c>
      <c r="G8" s="51">
        <f>-('Tesla Revenue Automotive'!G8-'Tesla Automotive GP '!G8)</f>
        <v>0</v>
      </c>
      <c r="H8" s="109" t="s">
        <v>136</v>
      </c>
      <c r="I8" s="109" t="s">
        <v>136</v>
      </c>
      <c r="J8" s="84">
        <f>-('Tesla Revenue Automotive'!J8-'Tesla Automotive GP '!J8)</f>
        <v>-62.427975561782382</v>
      </c>
      <c r="K8" s="84">
        <f>-('Tesla Revenue Automotive'!K8-'Tesla Automotive GP '!K8)</f>
        <v>-124.85595112356476</v>
      </c>
      <c r="L8" s="84">
        <f>-('Tesla Revenue Automotive'!L8-'Tesla Automotive GP '!L8)</f>
        <v>-187.28392668534715</v>
      </c>
      <c r="M8" s="84">
        <f>-('Tesla Revenue Automotive'!M8-'Tesla Automotive GP '!M8)</f>
        <v>-206.01231935388191</v>
      </c>
      <c r="N8" s="84">
        <f>-('Tesla Revenue Automotive'!N8-'Tesla Automotive GP '!N8)</f>
        <v>-226.61355128927013</v>
      </c>
      <c r="O8" s="84">
        <f>-('Tesla Revenue Automotive'!O8-'Tesla Automotive GP '!O8)</f>
        <v>-244.74263539241176</v>
      </c>
      <c r="P8" s="84">
        <f>-('Tesla Revenue Automotive'!P8-'Tesla Automotive GP '!P8)</f>
        <v>-264.3220462238047</v>
      </c>
      <c r="Q8" s="84">
        <f>-('Tesla Revenue Automotive'!Q8-'Tesla Automotive GP '!Q8)</f>
        <v>-274.8949280727569</v>
      </c>
    </row>
    <row r="9" spans="1:17" x14ac:dyDescent="0.3">
      <c r="B9" s="6" t="s">
        <v>118</v>
      </c>
      <c r="C9" s="20">
        <v>0</v>
      </c>
      <c r="D9" s="20">
        <v>0</v>
      </c>
      <c r="E9" s="20">
        <v>0</v>
      </c>
      <c r="F9" s="20">
        <v>0</v>
      </c>
      <c r="G9" s="51">
        <f>-('Tesla Revenue Automotive'!G9-'Tesla Automotive GP '!G9)</f>
        <v>0</v>
      </c>
      <c r="H9" s="109" t="s">
        <v>136</v>
      </c>
      <c r="I9" s="84">
        <f>-('Tesla Revenue Automotive'!I9-'Tesla Automotive GP '!I9)</f>
        <v>-12.339283586032213</v>
      </c>
      <c r="J9" s="84">
        <f>-('Tesla Revenue Automotive'!J9-'Tesla Automotive GP '!J9)</f>
        <v>-1021.6633016768338</v>
      </c>
      <c r="K9" s="84">
        <f>-('Tesla Revenue Automotive'!K9-'Tesla Automotive GP '!K9)</f>
        <v>-2104.2185895307716</v>
      </c>
      <c r="L9" s="84">
        <f>-('Tesla Revenue Automotive'!L9-'Tesla Automotive GP '!L9)</f>
        <v>-3366.7497432492346</v>
      </c>
      <c r="M9" s="84">
        <f>-('Tesla Revenue Automotive'!M9-'Tesla Automotive GP '!M9)</f>
        <v>-3703.4247175741584</v>
      </c>
      <c r="N9" s="84">
        <f>-('Tesla Revenue Automotive'!N9-'Tesla Automotive GP '!N9)</f>
        <v>-4073.7671893315737</v>
      </c>
      <c r="O9" s="84">
        <f>-('Tesla Revenue Automotive'!O9-'Tesla Automotive GP '!O9)</f>
        <v>-4399.668564478101</v>
      </c>
      <c r="P9" s="84">
        <f>-('Tesla Revenue Automotive'!P9-'Tesla Automotive GP '!P9)</f>
        <v>-4751.6420496363489</v>
      </c>
      <c r="Q9" s="84">
        <f>-('Tesla Revenue Automotive'!Q9-'Tesla Automotive GP '!Q9)</f>
        <v>-4941.7077316218038</v>
      </c>
    </row>
    <row r="10" spans="1:17" x14ac:dyDescent="0.3">
      <c r="B10" s="6" t="s">
        <v>119</v>
      </c>
      <c r="C10" s="20">
        <v>0</v>
      </c>
      <c r="D10" s="20">
        <v>0</v>
      </c>
      <c r="E10" s="20">
        <v>0</v>
      </c>
      <c r="F10" s="20">
        <v>0</v>
      </c>
      <c r="G10" s="51">
        <f>-('Tesla Revenue Automotive'!G10-'Tesla Automotive GP '!G10)</f>
        <v>0</v>
      </c>
      <c r="H10" s="109" t="s">
        <v>136</v>
      </c>
      <c r="I10" s="84">
        <f>-('Tesla Revenue Automotive'!I10-'Tesla Automotive GP '!I10)</f>
        <v>-34.934421908508185</v>
      </c>
      <c r="J10" s="84">
        <f>-('Tesla Revenue Automotive'!J10-'Tesla Automotive GP '!J10)</f>
        <v>-2892.4869568294575</v>
      </c>
      <c r="K10" s="84">
        <f>-('Tesla Revenue Automotive'!K10-'Tesla Automotive GP '!K10)</f>
        <v>-5957.3685523854265</v>
      </c>
      <c r="L10" s="84">
        <f>-('Tesla Revenue Automotive'!L10-'Tesla Automotive GP '!L10)</f>
        <v>-9531.7896838166835</v>
      </c>
      <c r="M10" s="84">
        <f>-('Tesla Revenue Automotive'!M10-'Tesla Automotive GP '!M10)</f>
        <v>-10484.968652198351</v>
      </c>
      <c r="N10" s="84">
        <f>-('Tesla Revenue Automotive'!N10-'Tesla Automotive GP '!N10)</f>
        <v>-11533.465517418188</v>
      </c>
      <c r="O10" s="84">
        <f>-('Tesla Revenue Automotive'!O10-'Tesla Automotive GP '!O10)</f>
        <v>-12456.142758811642</v>
      </c>
      <c r="P10" s="84">
        <f>-('Tesla Revenue Automotive'!P10-'Tesla Automotive GP '!P10)</f>
        <v>-13452.634179516577</v>
      </c>
      <c r="Q10" s="84">
        <f>-('Tesla Revenue Automotive'!Q10-'Tesla Automotive GP '!Q10)</f>
        <v>-13990.739546697241</v>
      </c>
    </row>
    <row r="11" spans="1:17" ht="16.8" thickBot="1" x14ac:dyDescent="0.4">
      <c r="B11" s="60" t="s">
        <v>120</v>
      </c>
      <c r="C11" s="61">
        <f>'P&amp;L Input'!C8/1000</f>
        <v>-2823.3020000000001</v>
      </c>
      <c r="D11" s="61">
        <f>'P&amp;L Input'!D8/1000</f>
        <v>-4750.0810000000001</v>
      </c>
      <c r="E11" s="61">
        <f>'P&amp;L Input'!E8/1000</f>
        <v>-7432.7039999999997</v>
      </c>
      <c r="F11" s="61">
        <f>'P&amp;L Input'!F8/1000</f>
        <v>-14173.996999999999</v>
      </c>
      <c r="G11" s="61">
        <f>'P&amp;L Input'!G8/1000</f>
        <v>-16398</v>
      </c>
      <c r="H11" s="61">
        <f t="shared" ref="H11:L11" si="0">SUM(H5:H10)</f>
        <v>-25811.583954252954</v>
      </c>
      <c r="I11" s="61">
        <f t="shared" si="0"/>
        <v>-35541.395402665061</v>
      </c>
      <c r="J11" s="61">
        <f t="shared" si="0"/>
        <v>-49904.195002259003</v>
      </c>
      <c r="K11" s="61">
        <f t="shared" si="0"/>
        <v>-65615.840589833984</v>
      </c>
      <c r="L11" s="61">
        <f t="shared" si="0"/>
        <v>-75359.583528506249</v>
      </c>
      <c r="M11" s="61">
        <f>SUM(M5:M10)</f>
        <v>-80796.801120090167</v>
      </c>
      <c r="N11" s="61">
        <f>SUM(N5:N10)</f>
        <v>-86093.306395668289</v>
      </c>
      <c r="O11" s="61">
        <f>SUM(O5:O10)</f>
        <v>-91467.438902397669</v>
      </c>
      <c r="P11" s="61">
        <f>SUM(P5:P10)</f>
        <v>-95810.158616840898</v>
      </c>
      <c r="Q11" s="61">
        <f>SUM(Q5:Q10)</f>
        <v>-99642.564961514523</v>
      </c>
    </row>
  </sheetData>
  <mergeCells count="1">
    <mergeCell ref="B3:Q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4ADD-8750-4A14-AF7D-10B12CF4040C}">
  <dimension ref="A1:Q9"/>
  <sheetViews>
    <sheetView workbookViewId="0"/>
  </sheetViews>
  <sheetFormatPr defaultColWidth="9.109375" defaultRowHeight="15.6" x14ac:dyDescent="0.3"/>
  <cols>
    <col min="1" max="1" width="4.88671875" style="6" customWidth="1"/>
    <col min="2" max="2" width="23.21875" style="6" customWidth="1"/>
    <col min="3" max="4" width="11.6640625" style="6" bestFit="1" customWidth="1"/>
    <col min="5" max="5" width="9.44140625" style="6" bestFit="1" customWidth="1"/>
    <col min="6" max="6" width="11.77734375" style="6" bestFit="1" customWidth="1"/>
    <col min="7" max="7" width="10.6640625" style="6" bestFit="1" customWidth="1"/>
    <col min="8" max="11" width="10.77734375" style="6" bestFit="1" customWidth="1"/>
    <col min="12" max="16" width="11.21875" style="6" bestFit="1" customWidth="1"/>
    <col min="17" max="16384" width="9.109375" style="6"/>
  </cols>
  <sheetData>
    <row r="1" spans="1:17" ht="21" x14ac:dyDescent="0.3">
      <c r="A1" s="55"/>
      <c r="B1" s="16" t="s">
        <v>195</v>
      </c>
    </row>
    <row r="2" spans="1:17" ht="16.2" x14ac:dyDescent="0.3">
      <c r="A2" s="55"/>
      <c r="B2" s="4"/>
    </row>
    <row r="3" spans="1:17" ht="32.4" x14ac:dyDescent="0.3">
      <c r="A3" s="55"/>
      <c r="B3" s="56" t="s">
        <v>103</v>
      </c>
      <c r="C3" s="19" t="s">
        <v>18</v>
      </c>
      <c r="D3" s="19" t="s">
        <v>19</v>
      </c>
      <c r="E3" s="19" t="s">
        <v>20</v>
      </c>
      <c r="F3" s="19" t="s">
        <v>21</v>
      </c>
      <c r="G3" s="57" t="s">
        <v>104</v>
      </c>
      <c r="H3" s="57" t="s">
        <v>105</v>
      </c>
      <c r="I3" s="57" t="s">
        <v>106</v>
      </c>
      <c r="J3" s="57" t="s">
        <v>107</v>
      </c>
      <c r="K3" s="57" t="s">
        <v>108</v>
      </c>
      <c r="L3" s="57" t="s">
        <v>109</v>
      </c>
      <c r="M3" s="57" t="s">
        <v>110</v>
      </c>
      <c r="N3" s="57" t="s">
        <v>111</v>
      </c>
      <c r="O3" s="57" t="s">
        <v>112</v>
      </c>
      <c r="P3" s="57" t="s">
        <v>113</v>
      </c>
    </row>
    <row r="4" spans="1:17" x14ac:dyDescent="0.3">
      <c r="B4" s="6" t="s">
        <v>196</v>
      </c>
      <c r="C4" s="51">
        <f>'Tesla Revenue Automotive'!D11</f>
        <v>6350.7659999999996</v>
      </c>
      <c r="D4" s="51">
        <f>'Tesla Revenue Automotive'!E11</f>
        <v>9641.3000000000011</v>
      </c>
      <c r="E4" s="51">
        <f>'Tesla Revenue Automotive'!F11</f>
        <v>18514.982999999997</v>
      </c>
      <c r="F4" s="51">
        <f>'Tesla Revenue Automotive'!G11</f>
        <v>20821</v>
      </c>
      <c r="G4" s="84">
        <f>'Tesla Revenue Automotive'!H11</f>
        <v>33883.553108619999</v>
      </c>
      <c r="H4" s="84">
        <f>'Tesla Revenue Automotive'!I11</f>
        <v>45867.036211716804</v>
      </c>
      <c r="I4" s="84">
        <f>'Tesla Revenue Automotive'!J11</f>
        <v>63702.852411189822</v>
      </c>
      <c r="J4" s="84">
        <f>'Tesla Revenue Automotive'!K11</f>
        <v>83153.75731249094</v>
      </c>
      <c r="K4" s="84">
        <f>'Tesla Revenue Automotive'!L11</f>
        <v>95455.729064474013</v>
      </c>
      <c r="L4" s="84">
        <f>'Tesla Revenue Automotive'!M11</f>
        <v>102245.44365321465</v>
      </c>
      <c r="M4" s="84">
        <f>'Tesla Revenue Automotive'!N11</f>
        <v>108879.18438402501</v>
      </c>
      <c r="N4" s="84">
        <f>'Tesla Revenue Automotive'!O11</f>
        <v>115602.36156379257</v>
      </c>
      <c r="O4" s="84">
        <f>'Tesla Revenue Automotive'!P11</f>
        <v>121093.30083140421</v>
      </c>
      <c r="P4" s="84">
        <f>'Tesla Revenue Automotive'!Q11</f>
        <v>125937.03286466037</v>
      </c>
    </row>
    <row r="5" spans="1:17" x14ac:dyDescent="0.3">
      <c r="B5" s="6" t="s">
        <v>197</v>
      </c>
      <c r="C5" s="51">
        <f>'Tesla Automotive GP '!D11</f>
        <v>1600.6849999999999</v>
      </c>
      <c r="D5" s="51">
        <f>'Tesla Automotive GP '!E11</f>
        <v>2208.596</v>
      </c>
      <c r="E5" s="51">
        <f>'Tesla Automotive GP '!F11</f>
        <v>4340.9859999999999</v>
      </c>
      <c r="F5" s="51">
        <f>'Tesla Automotive GP '!G11</f>
        <v>4423</v>
      </c>
      <c r="G5" s="84">
        <f>'Tesla Automotive GP '!H11</f>
        <v>8071.9691543670451</v>
      </c>
      <c r="H5" s="84">
        <f>'Tesla Automotive GP '!I11</f>
        <v>10325.640809051743</v>
      </c>
      <c r="I5" s="84">
        <f>'Tesla Automotive GP '!J11</f>
        <v>13798.657408930816</v>
      </c>
      <c r="J5" s="84">
        <f>'Tesla Automotive GP '!K11</f>
        <v>17537.916722656959</v>
      </c>
      <c r="K5" s="84">
        <f>'Tesla Automotive GP '!L11</f>
        <v>20096.145535967764</v>
      </c>
      <c r="L5" s="84">
        <f>'Tesla Automotive GP '!M11</f>
        <v>21448.642533124475</v>
      </c>
      <c r="M5" s="84">
        <f>'Tesla Automotive GP '!N11</f>
        <v>22785.877988356722</v>
      </c>
      <c r="N5" s="84">
        <f>'Tesla Automotive GP '!O11</f>
        <v>24134.922661394874</v>
      </c>
      <c r="O5" s="84">
        <f>'Tesla Automotive GP '!P11</f>
        <v>25283.142214563311</v>
      </c>
      <c r="P5" s="84">
        <f>'Tesla Automotive GP '!Q11</f>
        <v>26294.46790314584</v>
      </c>
    </row>
    <row r="6" spans="1:17" x14ac:dyDescent="0.3">
      <c r="B6" s="6" t="s">
        <v>198</v>
      </c>
      <c r="C6" s="110">
        <f>C5/C4</f>
        <v>0.25204597366679865</v>
      </c>
      <c r="D6" s="110">
        <f t="shared" ref="D6:P6" si="0">D5/D4</f>
        <v>0.22907657681018118</v>
      </c>
      <c r="E6" s="110">
        <f t="shared" si="0"/>
        <v>0.23445800625363797</v>
      </c>
      <c r="F6" s="110">
        <f t="shared" si="0"/>
        <v>0.21242975841698286</v>
      </c>
      <c r="G6" s="111">
        <f t="shared" si="0"/>
        <v>0.23822676236139859</v>
      </c>
      <c r="H6" s="111">
        <f t="shared" si="0"/>
        <v>0.22512116896739978</v>
      </c>
      <c r="I6" s="111">
        <f t="shared" si="0"/>
        <v>0.21660972604276965</v>
      </c>
      <c r="J6" s="111">
        <f t="shared" si="0"/>
        <v>0.21090949212011736</v>
      </c>
      <c r="K6" s="111">
        <f t="shared" si="0"/>
        <v>0.21052843797771584</v>
      </c>
      <c r="L6" s="111">
        <f t="shared" si="0"/>
        <v>0.20977602293821254</v>
      </c>
      <c r="M6" s="111">
        <f t="shared" si="0"/>
        <v>0.20927671452781305</v>
      </c>
      <c r="N6" s="111">
        <f t="shared" si="0"/>
        <v>0.20877534277772136</v>
      </c>
      <c r="O6" s="111">
        <f t="shared" si="0"/>
        <v>0.20879059403760517</v>
      </c>
      <c r="P6" s="111">
        <f t="shared" si="0"/>
        <v>0.20879059403760514</v>
      </c>
      <c r="Q6" s="110"/>
    </row>
    <row r="7" spans="1:17" x14ac:dyDescent="0.3">
      <c r="J7" s="10"/>
      <c r="K7" s="10"/>
      <c r="L7" s="10"/>
      <c r="M7" s="10"/>
      <c r="N7" s="10"/>
      <c r="O7" s="10"/>
      <c r="P7" s="10"/>
    </row>
    <row r="8" spans="1:17" x14ac:dyDescent="0.3">
      <c r="J8" s="10"/>
      <c r="K8" s="10"/>
      <c r="L8" s="10"/>
      <c r="M8" s="10"/>
      <c r="N8" s="10"/>
      <c r="O8" s="10"/>
      <c r="P8" s="10"/>
    </row>
    <row r="9" spans="1:17" x14ac:dyDescent="0.3">
      <c r="J9" s="10"/>
      <c r="K9" s="10"/>
      <c r="L9" s="10"/>
      <c r="M9" s="10"/>
      <c r="N9" s="10"/>
      <c r="O9" s="10"/>
      <c r="P9" s="10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D1F7-7E65-4CCC-8EE0-F4308AD83881}">
  <sheetPr>
    <tabColor rgb="FF002060"/>
  </sheetPr>
  <dimension ref="A13"/>
  <sheetViews>
    <sheetView showGridLines="0" workbookViewId="0"/>
  </sheetViews>
  <sheetFormatPr defaultRowHeight="14.4" x14ac:dyDescent="0.3"/>
  <cols>
    <col min="1" max="16384" width="8.88671875" style="40"/>
  </cols>
  <sheetData>
    <row r="13" spans="1:1" ht="61.8" x14ac:dyDescent="1.1499999999999999">
      <c r="A13" s="41" t="s">
        <v>353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95A6-9D71-4ADE-911E-CCAC38CC62F6}">
  <dimension ref="A1:Q20"/>
  <sheetViews>
    <sheetView workbookViewId="0"/>
  </sheetViews>
  <sheetFormatPr defaultColWidth="9.109375" defaultRowHeight="15.6" x14ac:dyDescent="0.3"/>
  <cols>
    <col min="1" max="1" width="3.77734375" style="6" customWidth="1"/>
    <col min="2" max="2" width="28" style="6" customWidth="1"/>
    <col min="3" max="12" width="9.6640625" style="6" customWidth="1"/>
    <col min="13" max="16384" width="9.109375" style="6"/>
  </cols>
  <sheetData>
    <row r="1" spans="1:17" ht="21" x14ac:dyDescent="0.3">
      <c r="A1" s="55"/>
      <c r="B1" s="16" t="s">
        <v>354</v>
      </c>
    </row>
    <row r="2" spans="1:17" ht="16.2" x14ac:dyDescent="0.3">
      <c r="A2" s="55"/>
      <c r="B2" s="4"/>
    </row>
    <row r="3" spans="1:17" ht="16.2" x14ac:dyDescent="0.3">
      <c r="B3" s="265" t="s">
        <v>199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</row>
    <row r="4" spans="1:17" ht="32.4" x14ac:dyDescent="0.3">
      <c r="B4" s="114" t="s">
        <v>200</v>
      </c>
      <c r="C4" s="19" t="s">
        <v>17</v>
      </c>
      <c r="D4" s="19" t="s">
        <v>18</v>
      </c>
      <c r="E4" s="19" t="s">
        <v>19</v>
      </c>
      <c r="F4" s="19" t="s">
        <v>20</v>
      </c>
      <c r="G4" s="19" t="s">
        <v>21</v>
      </c>
      <c r="H4" s="57" t="s">
        <v>104</v>
      </c>
      <c r="I4" s="57" t="s">
        <v>105</v>
      </c>
      <c r="J4" s="57" t="s">
        <v>106</v>
      </c>
      <c r="K4" s="57" t="s">
        <v>107</v>
      </c>
      <c r="L4" s="57" t="s">
        <v>108</v>
      </c>
      <c r="M4" s="57" t="s">
        <v>109</v>
      </c>
      <c r="N4" s="57" t="s">
        <v>110</v>
      </c>
      <c r="O4" s="57" t="s">
        <v>111</v>
      </c>
      <c r="P4" s="57" t="s">
        <v>112</v>
      </c>
      <c r="Q4" s="57" t="s">
        <v>113</v>
      </c>
    </row>
    <row r="5" spans="1:17" x14ac:dyDescent="0.3">
      <c r="B5" s="6" t="s">
        <v>23</v>
      </c>
      <c r="C5" s="51">
        <f>'P&amp;L Input'!C5/1000</f>
        <v>14.477</v>
      </c>
      <c r="D5" s="51">
        <f>'P&amp;L Input'!D5/1000</f>
        <v>181.39400000000001</v>
      </c>
      <c r="E5" s="51">
        <f>'P&amp;L Input'!E5/1000</f>
        <v>1116.2660000000001</v>
      </c>
      <c r="F5" s="51">
        <f>'P&amp;L Input'!F5/1000</f>
        <v>1555.2439999999999</v>
      </c>
      <c r="G5" s="51">
        <f>'P&amp;L Input'!G5/1000</f>
        <v>1531</v>
      </c>
      <c r="H5" s="20" t="s">
        <v>122</v>
      </c>
      <c r="I5" s="20" t="s">
        <v>122</v>
      </c>
      <c r="J5" s="20" t="s">
        <v>122</v>
      </c>
      <c r="K5" s="20" t="s">
        <v>122</v>
      </c>
      <c r="L5" s="20" t="s">
        <v>122</v>
      </c>
      <c r="M5" s="20" t="s">
        <v>122</v>
      </c>
      <c r="N5" s="20" t="s">
        <v>122</v>
      </c>
      <c r="O5" s="20" t="s">
        <v>122</v>
      </c>
      <c r="P5" s="20" t="s">
        <v>122</v>
      </c>
      <c r="Q5" s="20" t="s">
        <v>122</v>
      </c>
    </row>
    <row r="6" spans="1:17" x14ac:dyDescent="0.3">
      <c r="B6" s="6" t="s">
        <v>24</v>
      </c>
      <c r="C6" s="51">
        <f>'P&amp;L Input'!C6/1000</f>
        <v>290.57499999999999</v>
      </c>
      <c r="D6" s="51">
        <f>'P&amp;L Input'!D6/1000</f>
        <v>467.97199999999998</v>
      </c>
      <c r="E6" s="51">
        <f>'P&amp;L Input'!E6/1000</f>
        <v>1001.1849999999999</v>
      </c>
      <c r="F6" s="51">
        <f>'P&amp;L Input'!F6/1000</f>
        <v>1391.0409999999999</v>
      </c>
      <c r="G6" s="51">
        <f>'P&amp;L Input'!G6/1000</f>
        <v>2226</v>
      </c>
      <c r="H6" s="20" t="s">
        <v>122</v>
      </c>
      <c r="I6" s="20" t="s">
        <v>122</v>
      </c>
      <c r="J6" s="20" t="s">
        <v>122</v>
      </c>
      <c r="K6" s="20" t="s">
        <v>122</v>
      </c>
      <c r="L6" s="20" t="s">
        <v>122</v>
      </c>
      <c r="M6" s="20" t="s">
        <v>122</v>
      </c>
      <c r="N6" s="20" t="s">
        <v>122</v>
      </c>
      <c r="O6" s="20" t="s">
        <v>122</v>
      </c>
      <c r="P6" s="20" t="s">
        <v>122</v>
      </c>
      <c r="Q6" s="20" t="s">
        <v>122</v>
      </c>
    </row>
    <row r="7" spans="1:17" ht="16.2" x14ac:dyDescent="0.3">
      <c r="B7" s="21" t="s">
        <v>201</v>
      </c>
      <c r="C7" s="112">
        <f t="shared" ref="C7:G7" si="0">SUM(C5:C6)</f>
        <v>305.05199999999996</v>
      </c>
      <c r="D7" s="112">
        <f t="shared" si="0"/>
        <v>649.36599999999999</v>
      </c>
      <c r="E7" s="112">
        <f t="shared" si="0"/>
        <v>2117.451</v>
      </c>
      <c r="F7" s="112">
        <f t="shared" si="0"/>
        <v>2946.2849999999999</v>
      </c>
      <c r="G7" s="112">
        <f t="shared" si="0"/>
        <v>3757</v>
      </c>
      <c r="H7" s="113">
        <f>G7*(1+H10)</f>
        <v>4508.3999999999996</v>
      </c>
      <c r="I7" s="113">
        <f>H7*(1+I10)</f>
        <v>5139.5759999999991</v>
      </c>
      <c r="J7" s="113">
        <f t="shared" ref="J7:Q7" si="1">I7*(1+J10)</f>
        <v>5653.5335999999998</v>
      </c>
      <c r="K7" s="113">
        <f t="shared" si="1"/>
        <v>6105.816288</v>
      </c>
      <c r="L7" s="113">
        <f t="shared" si="1"/>
        <v>6594.2815910400004</v>
      </c>
      <c r="M7" s="113">
        <f t="shared" si="1"/>
        <v>7121.8241183232012</v>
      </c>
      <c r="N7" s="113">
        <f t="shared" si="1"/>
        <v>7691.5700477890578</v>
      </c>
      <c r="O7" s="113">
        <f t="shared" si="1"/>
        <v>8306.8956516121834</v>
      </c>
      <c r="P7" s="113">
        <f t="shared" si="1"/>
        <v>8971.447303741159</v>
      </c>
      <c r="Q7" s="113">
        <f t="shared" si="1"/>
        <v>9689.1630880404518</v>
      </c>
    </row>
    <row r="9" spans="1:17" ht="16.2" x14ac:dyDescent="0.3">
      <c r="B9" s="7" t="s">
        <v>2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</row>
    <row r="10" spans="1:17" x14ac:dyDescent="0.3">
      <c r="B10" s="63" t="s">
        <v>201</v>
      </c>
      <c r="C10" s="64"/>
      <c r="D10" s="64"/>
      <c r="E10" s="64"/>
      <c r="F10" s="64"/>
      <c r="G10" s="63"/>
      <c r="H10" s="67">
        <f>CHOOSE(Drivers!$C$3,H14,H17,H20)</f>
        <v>0.19999999999999998</v>
      </c>
      <c r="I10" s="67">
        <f>CHOOSE(Drivers!$C$3,I14,I17,I20)</f>
        <v>0.13999999999999999</v>
      </c>
      <c r="J10" s="67">
        <f>CHOOSE(Drivers!$C$3,J14,J17,J20)</f>
        <v>0.1</v>
      </c>
      <c r="K10" s="67">
        <f>CHOOSE(Drivers!$C$3,K14,K17,K20)</f>
        <v>0.08</v>
      </c>
      <c r="L10" s="67">
        <f>CHOOSE(Drivers!$C$3,L14,L17,L20)</f>
        <v>0.08</v>
      </c>
      <c r="M10" s="67">
        <f>CHOOSE(Drivers!$C$3,M14,M17,M20)</f>
        <v>0.08</v>
      </c>
      <c r="N10" s="67">
        <f>CHOOSE(Drivers!$C$3,N14,N17,N20)</f>
        <v>0.08</v>
      </c>
      <c r="O10" s="67">
        <f>CHOOSE(Drivers!$C$3,O14,O17,O20)</f>
        <v>0.08</v>
      </c>
      <c r="P10" s="67">
        <f>CHOOSE(Drivers!$C$3,P14,P17,P20)</f>
        <v>0.08</v>
      </c>
      <c r="Q10" s="67">
        <f>CHOOSE(Drivers!$C$3,Q14,Q17,Q20)</f>
        <v>0.08</v>
      </c>
    </row>
    <row r="11" spans="1:17" x14ac:dyDescent="0.3">
      <c r="B11" s="63"/>
      <c r="C11" s="64"/>
      <c r="D11" s="64"/>
      <c r="E11" s="64"/>
      <c r="F11" s="64"/>
      <c r="G11" s="63"/>
      <c r="H11" s="64"/>
      <c r="I11" s="68"/>
      <c r="J11" s="68"/>
      <c r="K11" s="68"/>
      <c r="L11" s="68"/>
      <c r="M11" s="68"/>
      <c r="N11" s="68"/>
      <c r="O11" s="68"/>
      <c r="P11" s="68"/>
      <c r="Q11" s="68"/>
    </row>
    <row r="12" spans="1:17" ht="16.2" x14ac:dyDescent="0.3">
      <c r="B12" s="7" t="s">
        <v>202</v>
      </c>
      <c r="C12" s="64"/>
      <c r="D12" s="64"/>
      <c r="E12" s="64"/>
      <c r="F12" s="64"/>
      <c r="G12" s="63"/>
      <c r="H12" s="64"/>
      <c r="I12" s="68"/>
      <c r="J12" s="68"/>
      <c r="K12" s="68"/>
      <c r="L12" s="68"/>
      <c r="M12" s="68"/>
      <c r="N12" s="68"/>
      <c r="O12" s="68"/>
      <c r="P12" s="68"/>
      <c r="Q12" s="68"/>
    </row>
    <row r="13" spans="1:17" ht="16.2" x14ac:dyDescent="0.3">
      <c r="B13" s="7" t="s">
        <v>177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</row>
    <row r="14" spans="1:17" x14ac:dyDescent="0.3">
      <c r="B14" s="63" t="s">
        <v>201</v>
      </c>
      <c r="C14" s="64"/>
      <c r="D14" s="65"/>
      <c r="E14" s="65"/>
      <c r="F14" s="65"/>
      <c r="G14" s="63"/>
      <c r="H14" s="65">
        <f>H17+Drivers!$C$13</f>
        <v>0.19999999999999998</v>
      </c>
      <c r="I14" s="65">
        <f>I17+Drivers!$C$13</f>
        <v>0.13999999999999999</v>
      </c>
      <c r="J14" s="65">
        <f>J17+Drivers!$C$13</f>
        <v>0.1</v>
      </c>
      <c r="K14" s="65">
        <f>K17+Drivers!$C$13</f>
        <v>0.08</v>
      </c>
      <c r="L14" s="65">
        <f>L17+Drivers!$C$13</f>
        <v>0.08</v>
      </c>
      <c r="M14" s="65">
        <f>M17+Drivers!$C$13</f>
        <v>0.08</v>
      </c>
      <c r="N14" s="65">
        <f>N17+Drivers!$C$13</f>
        <v>0.08</v>
      </c>
      <c r="O14" s="65">
        <f>O17+Drivers!$C$13</f>
        <v>0.08</v>
      </c>
      <c r="P14" s="65">
        <f>P17+Drivers!$C$13</f>
        <v>0.08</v>
      </c>
      <c r="Q14" s="65">
        <f>Q17+Drivers!$C$13</f>
        <v>0.08</v>
      </c>
    </row>
    <row r="15" spans="1:17" x14ac:dyDescent="0.3">
      <c r="B15" s="63"/>
      <c r="C15" s="64"/>
      <c r="D15" s="64"/>
      <c r="E15" s="64"/>
      <c r="F15" s="64"/>
      <c r="G15" s="63"/>
      <c r="H15" s="64"/>
      <c r="I15" s="68"/>
      <c r="J15" s="68"/>
      <c r="K15" s="68"/>
      <c r="L15" s="68"/>
      <c r="M15" s="68"/>
      <c r="N15" s="68"/>
      <c r="O15" s="68"/>
      <c r="P15" s="68"/>
      <c r="Q15" s="68"/>
    </row>
    <row r="16" spans="1:17" ht="16.2" x14ac:dyDescent="0.3">
      <c r="B16" s="7" t="s">
        <v>178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</row>
    <row r="17" spans="2:17" x14ac:dyDescent="0.3">
      <c r="B17" s="63" t="s">
        <v>201</v>
      </c>
      <c r="C17" s="64"/>
      <c r="D17" s="65">
        <f>D7/C7-1</f>
        <v>1.1287059255471199</v>
      </c>
      <c r="E17" s="65">
        <f>E7/D7-1</f>
        <v>2.26079745474817</v>
      </c>
      <c r="F17" s="65">
        <f>F7/E7-1</f>
        <v>0.39143007323428014</v>
      </c>
      <c r="G17" s="65">
        <f>G7/F7-1</f>
        <v>0.27516516562382809</v>
      </c>
      <c r="H17" s="67">
        <v>0.18</v>
      </c>
      <c r="I17" s="67">
        <v>0.12</v>
      </c>
      <c r="J17" s="67">
        <v>0.08</v>
      </c>
      <c r="K17" s="67">
        <v>0.06</v>
      </c>
      <c r="L17" s="67">
        <v>0.06</v>
      </c>
      <c r="M17" s="67">
        <v>0.06</v>
      </c>
      <c r="N17" s="67">
        <v>0.06</v>
      </c>
      <c r="O17" s="67">
        <v>0.06</v>
      </c>
      <c r="P17" s="67">
        <v>0.06</v>
      </c>
      <c r="Q17" s="67">
        <v>0.06</v>
      </c>
    </row>
    <row r="18" spans="2:17" x14ac:dyDescent="0.3">
      <c r="B18" s="63"/>
      <c r="C18" s="64"/>
      <c r="D18" s="64"/>
      <c r="E18" s="64"/>
      <c r="F18" s="64"/>
      <c r="G18" s="63"/>
      <c r="H18" s="64"/>
      <c r="I18" s="68"/>
      <c r="J18" s="68"/>
      <c r="K18" s="68"/>
      <c r="L18" s="68"/>
      <c r="M18" s="68"/>
      <c r="N18" s="68"/>
      <c r="O18" s="68"/>
      <c r="P18" s="68"/>
      <c r="Q18" s="68"/>
    </row>
    <row r="19" spans="2:17" ht="16.2" x14ac:dyDescent="0.3">
      <c r="B19" s="7" t="s">
        <v>179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</row>
    <row r="20" spans="2:17" x14ac:dyDescent="0.3">
      <c r="B20" s="63" t="s">
        <v>201</v>
      </c>
      <c r="C20" s="64"/>
      <c r="D20" s="65"/>
      <c r="E20" s="65"/>
      <c r="F20" s="65"/>
      <c r="G20" s="63"/>
      <c r="H20" s="65">
        <f>H17-Drivers!$C$13</f>
        <v>0.16</v>
      </c>
      <c r="I20" s="65">
        <f>I17-Drivers!$C$13</f>
        <v>9.9999999999999992E-2</v>
      </c>
      <c r="J20" s="65">
        <f>J17-Drivers!$C$13</f>
        <v>0.06</v>
      </c>
      <c r="K20" s="65">
        <f>K17-Drivers!$C$13</f>
        <v>3.9999999999999994E-2</v>
      </c>
      <c r="L20" s="65">
        <f>L17-Drivers!$C$13</f>
        <v>3.9999999999999994E-2</v>
      </c>
      <c r="M20" s="65">
        <f>M17-Drivers!$C$13</f>
        <v>3.9999999999999994E-2</v>
      </c>
      <c r="N20" s="65">
        <f>N17-Drivers!$C$13</f>
        <v>3.9999999999999994E-2</v>
      </c>
      <c r="O20" s="65">
        <f>O17-Drivers!$C$13</f>
        <v>3.9999999999999994E-2</v>
      </c>
      <c r="P20" s="65">
        <f>P17-Drivers!$C$13</f>
        <v>3.9999999999999994E-2</v>
      </c>
      <c r="Q20" s="65">
        <f>Q17-Drivers!$C$13</f>
        <v>3.9999999999999994E-2</v>
      </c>
    </row>
  </sheetData>
  <mergeCells count="1">
    <mergeCell ref="B3:Q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C7E1-ACC2-4809-A1C6-555161ED7DEB}">
  <dimension ref="B1:Q21"/>
  <sheetViews>
    <sheetView workbookViewId="0"/>
  </sheetViews>
  <sheetFormatPr defaultColWidth="9.109375" defaultRowHeight="15.6" x14ac:dyDescent="0.3"/>
  <cols>
    <col min="1" max="1" width="3" style="116" customWidth="1"/>
    <col min="2" max="2" width="28.88671875" style="116" customWidth="1"/>
    <col min="3" max="12" width="9.6640625" style="116" customWidth="1"/>
    <col min="13" max="16384" width="9.109375" style="116"/>
  </cols>
  <sheetData>
    <row r="1" spans="2:17" ht="21" x14ac:dyDescent="0.3">
      <c r="B1" s="127" t="s">
        <v>355</v>
      </c>
    </row>
    <row r="2" spans="2:17" ht="16.2" x14ac:dyDescent="0.3">
      <c r="B2" s="115"/>
    </row>
    <row r="3" spans="2:17" ht="16.2" x14ac:dyDescent="0.3">
      <c r="B3" s="266" t="s">
        <v>203</v>
      </c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</row>
    <row r="4" spans="2:17" ht="32.4" x14ac:dyDescent="0.3">
      <c r="B4" s="128" t="s">
        <v>200</v>
      </c>
      <c r="C4" s="117" t="s">
        <v>17</v>
      </c>
      <c r="D4" s="117" t="s">
        <v>18</v>
      </c>
      <c r="E4" s="117" t="s">
        <v>19</v>
      </c>
      <c r="F4" s="117" t="s">
        <v>20</v>
      </c>
      <c r="G4" s="117" t="s">
        <v>21</v>
      </c>
      <c r="H4" s="118" t="s">
        <v>204</v>
      </c>
      <c r="I4" s="118" t="s">
        <v>105</v>
      </c>
      <c r="J4" s="118" t="s">
        <v>106</v>
      </c>
      <c r="K4" s="118" t="s">
        <v>107</v>
      </c>
      <c r="L4" s="118" t="s">
        <v>108</v>
      </c>
      <c r="M4" s="118" t="s">
        <v>109</v>
      </c>
      <c r="N4" s="118" t="s">
        <v>109</v>
      </c>
      <c r="O4" s="118" t="s">
        <v>111</v>
      </c>
      <c r="P4" s="118" t="s">
        <v>112</v>
      </c>
      <c r="Q4" s="118" t="s">
        <v>113</v>
      </c>
    </row>
    <row r="5" spans="2:17" x14ac:dyDescent="0.3">
      <c r="B5" s="116" t="s">
        <v>23</v>
      </c>
      <c r="C5" s="119">
        <f>('P&amp;L Input'!C5+'P&amp;L Input'!C9)/1000</f>
        <v>2.19</v>
      </c>
      <c r="D5" s="119">
        <f>('P&amp;L Input'!D5+'P&amp;L Input'!D9)/1000</f>
        <v>3.0619999999999998</v>
      </c>
      <c r="E5" s="119">
        <f>('P&amp;L Input'!E5+'P&amp;L Input'!E9)/1000</f>
        <v>241.72800000000001</v>
      </c>
      <c r="F5" s="119">
        <f>('P&amp;L Input'!F5+'P&amp;L Input'!F9)/1000</f>
        <v>190.34800000000001</v>
      </c>
      <c r="G5" s="119">
        <f>('P&amp;L Input'!G5+'P&amp;L Input'!G9)/1000</f>
        <v>190</v>
      </c>
      <c r="H5" s="131" t="s">
        <v>122</v>
      </c>
      <c r="I5" s="131" t="s">
        <v>122</v>
      </c>
      <c r="J5" s="131" t="s">
        <v>122</v>
      </c>
      <c r="K5" s="131" t="s">
        <v>122</v>
      </c>
      <c r="L5" s="131" t="s">
        <v>122</v>
      </c>
      <c r="M5" s="131" t="s">
        <v>122</v>
      </c>
      <c r="N5" s="131" t="s">
        <v>122</v>
      </c>
      <c r="O5" s="131" t="s">
        <v>122</v>
      </c>
      <c r="P5" s="131" t="s">
        <v>122</v>
      </c>
      <c r="Q5" s="131" t="s">
        <v>122</v>
      </c>
    </row>
    <row r="6" spans="2:17" x14ac:dyDescent="0.3">
      <c r="B6" s="116" t="s">
        <v>24</v>
      </c>
      <c r="C6" s="119">
        <f>('P&amp;L Input'!C6+'P&amp;L Input'!C10)/1000</f>
        <v>3.6419999999999999</v>
      </c>
      <c r="D6" s="119">
        <f>('P&amp;L Input'!D6+'P&amp;L Input'!D10)/1000</f>
        <v>-4.49</v>
      </c>
      <c r="E6" s="119">
        <f>('P&amp;L Input'!E6+'P&amp;L Input'!E10)/1000</f>
        <v>-227.83699999999999</v>
      </c>
      <c r="F6" s="119">
        <f>('P&amp;L Input'!F6+'P&amp;L Input'!F10)/1000</f>
        <v>-489.31299999999999</v>
      </c>
      <c r="G6" s="119">
        <f>('P&amp;L Input'!G6+'P&amp;L Input'!G10)/1000</f>
        <v>-544</v>
      </c>
      <c r="H6" s="131" t="s">
        <v>122</v>
      </c>
      <c r="I6" s="131" t="s">
        <v>122</v>
      </c>
      <c r="J6" s="131" t="s">
        <v>122</v>
      </c>
      <c r="K6" s="131" t="s">
        <v>122</v>
      </c>
      <c r="L6" s="131" t="s">
        <v>122</v>
      </c>
      <c r="M6" s="131" t="s">
        <v>122</v>
      </c>
      <c r="N6" s="131" t="s">
        <v>122</v>
      </c>
      <c r="O6" s="131" t="s">
        <v>122</v>
      </c>
      <c r="P6" s="131" t="s">
        <v>122</v>
      </c>
      <c r="Q6" s="131" t="s">
        <v>122</v>
      </c>
    </row>
    <row r="7" spans="2:17" ht="16.8" thickBot="1" x14ac:dyDescent="0.4">
      <c r="B7" s="120" t="s">
        <v>201</v>
      </c>
      <c r="C7" s="121">
        <f>SUM(C5:C6)</f>
        <v>5.8319999999999999</v>
      </c>
      <c r="D7" s="121">
        <f t="shared" ref="D7:G7" si="0">SUM(D5:D6)</f>
        <v>-1.4280000000000004</v>
      </c>
      <c r="E7" s="121">
        <f t="shared" si="0"/>
        <v>13.89100000000002</v>
      </c>
      <c r="F7" s="121">
        <f t="shared" si="0"/>
        <v>-298.96499999999997</v>
      </c>
      <c r="G7" s="121">
        <f t="shared" si="0"/>
        <v>-354</v>
      </c>
      <c r="H7" s="130">
        <f>'Revenue Energy, service &amp; Other'!H7*'Energy, services &amp; Other GP'!H11</f>
        <v>90.167999999999992</v>
      </c>
      <c r="I7" s="130">
        <f>'Revenue Energy, service &amp; Other'!I7*'Energy, services &amp; Other GP'!I11</f>
        <v>102.79151999999999</v>
      </c>
      <c r="J7" s="130">
        <f>'Revenue Energy, service &amp; Other'!J7*'Energy, services &amp; Other GP'!J11</f>
        <v>113.070672</v>
      </c>
      <c r="K7" s="130">
        <f>'Revenue Energy, service &amp; Other'!K7*'Energy, services &amp; Other GP'!K11</f>
        <v>122.11632576</v>
      </c>
      <c r="L7" s="130">
        <f>'Revenue Energy, service &amp; Other'!L7*'Energy, services &amp; Other GP'!L11</f>
        <v>131.8856318208</v>
      </c>
      <c r="M7" s="130">
        <f>'Revenue Energy, service &amp; Other'!M7*'Energy, services &amp; Other GP'!M11</f>
        <v>142.43648236646402</v>
      </c>
      <c r="N7" s="130">
        <f>'Revenue Energy, service &amp; Other'!N7*'Energy, services &amp; Other GP'!N11</f>
        <v>153.83140095578116</v>
      </c>
      <c r="O7" s="130">
        <f>'Revenue Energy, service &amp; Other'!O7*'Energy, services &amp; Other GP'!O11</f>
        <v>166.13791303224366</v>
      </c>
      <c r="P7" s="130">
        <f>'Revenue Energy, service &amp; Other'!P7*'Energy, services &amp; Other GP'!P11</f>
        <v>179.42894607482319</v>
      </c>
      <c r="Q7" s="130">
        <f>'Revenue Energy, service &amp; Other'!Q7*'Energy, services &amp; Other GP'!Q11</f>
        <v>193.78326176080904</v>
      </c>
    </row>
    <row r="9" spans="2:17" ht="3" customHeight="1" x14ac:dyDescent="0.3"/>
    <row r="10" spans="2:17" ht="16.2" x14ac:dyDescent="0.3">
      <c r="B10" s="129" t="s">
        <v>2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2:17" x14ac:dyDescent="0.3">
      <c r="B11" s="122" t="s">
        <v>201</v>
      </c>
      <c r="C11" s="123">
        <f>C7/'Revenue Energy, service &amp; Other'!C7</f>
        <v>1.9118052004248459E-2</v>
      </c>
      <c r="D11" s="123">
        <f>D7/'Revenue Energy, service &amp; Other'!D7</f>
        <v>-2.1990680140321489E-3</v>
      </c>
      <c r="E11" s="123">
        <f>E7/'Revenue Energy, service &amp; Other'!E7</f>
        <v>6.5602462583549837E-3</v>
      </c>
      <c r="F11" s="123">
        <f>F7/'Revenue Energy, service &amp; Other'!F7</f>
        <v>-0.10147185353759056</v>
      </c>
      <c r="G11" s="123">
        <f>G7/'Revenue Energy, service &amp; Other'!G7</f>
        <v>-9.4224114985360666E-2</v>
      </c>
      <c r="H11" s="124">
        <f>CHOOSE(Drivers!$C$3,H14,H17,H21)</f>
        <v>0.02</v>
      </c>
      <c r="I11" s="124">
        <f>CHOOSE(Drivers!$C$3,I14,I17,I21)</f>
        <v>0.02</v>
      </c>
      <c r="J11" s="124">
        <f>CHOOSE(Drivers!$C$3,J14,J17,J21)</f>
        <v>0.02</v>
      </c>
      <c r="K11" s="124">
        <f>CHOOSE(Drivers!$C$3,K14,K17,K21)</f>
        <v>0.02</v>
      </c>
      <c r="L11" s="124">
        <f>CHOOSE(Drivers!$C$3,L14,L17,L21)</f>
        <v>0.02</v>
      </c>
      <c r="M11" s="124">
        <f>CHOOSE(Drivers!$C$3,M14,M17,M21)</f>
        <v>0.02</v>
      </c>
      <c r="N11" s="124">
        <f>CHOOSE(Drivers!$C$3,N14,N17,N21)</f>
        <v>0.02</v>
      </c>
      <c r="O11" s="124">
        <f>CHOOSE(Drivers!$C$3,O14,O17,O21)</f>
        <v>0.02</v>
      </c>
      <c r="P11" s="124">
        <f>CHOOSE(Drivers!$C$3,P14,P17,P21)</f>
        <v>0.02</v>
      </c>
      <c r="Q11" s="124">
        <f>CHOOSE(Drivers!$C$3,Q14,Q17,Q21)</f>
        <v>0.02</v>
      </c>
    </row>
    <row r="12" spans="2:17" x14ac:dyDescent="0.3">
      <c r="B12" s="122"/>
      <c r="C12" s="125"/>
      <c r="D12" s="125"/>
      <c r="E12" s="125"/>
      <c r="F12" s="125"/>
      <c r="G12" s="122"/>
      <c r="H12" s="125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2:17" ht="16.2" x14ac:dyDescent="0.3">
      <c r="B13" s="129" t="s">
        <v>198</v>
      </c>
      <c r="C13" s="125"/>
      <c r="D13" s="125"/>
      <c r="E13" s="125"/>
      <c r="F13" s="125"/>
      <c r="G13" s="122"/>
      <c r="H13" s="125"/>
      <c r="I13" s="126"/>
      <c r="J13" s="126"/>
      <c r="K13" s="126"/>
      <c r="L13" s="126"/>
      <c r="M13" s="126"/>
      <c r="N13" s="126"/>
      <c r="O13" s="126"/>
      <c r="P13" s="126"/>
      <c r="Q13" s="126"/>
    </row>
    <row r="14" spans="2:17" ht="16.2" x14ac:dyDescent="0.3">
      <c r="B14" s="129" t="s">
        <v>177</v>
      </c>
      <c r="C14" s="122"/>
      <c r="D14" s="122"/>
      <c r="E14" s="122"/>
      <c r="F14" s="122"/>
      <c r="G14" s="122"/>
      <c r="H14" s="123">
        <f>H17+Drivers!$C$13</f>
        <v>0.02</v>
      </c>
      <c r="I14" s="123">
        <f>I17+Drivers!$C$13</f>
        <v>0.02</v>
      </c>
      <c r="J14" s="123">
        <f>J17+Drivers!$C$13</f>
        <v>0.02</v>
      </c>
      <c r="K14" s="123">
        <f>K17+Drivers!$C$13</f>
        <v>0.02</v>
      </c>
      <c r="L14" s="123">
        <f>L17+Drivers!$C$13</f>
        <v>0.02</v>
      </c>
      <c r="M14" s="123">
        <f>M17+Drivers!$C$13</f>
        <v>0.02</v>
      </c>
      <c r="N14" s="123">
        <f>N17+Drivers!$C$13</f>
        <v>0.02</v>
      </c>
      <c r="O14" s="123">
        <f>O17+Drivers!$C$13</f>
        <v>0.02</v>
      </c>
      <c r="P14" s="123">
        <f>P17+Drivers!$C$13</f>
        <v>0.02</v>
      </c>
      <c r="Q14" s="123">
        <f>Q17+Drivers!$C$13</f>
        <v>0.02</v>
      </c>
    </row>
    <row r="15" spans="2:17" x14ac:dyDescent="0.3">
      <c r="B15" s="122" t="s">
        <v>201</v>
      </c>
      <c r="C15" s="125"/>
      <c r="D15" s="123"/>
      <c r="E15" s="123"/>
      <c r="F15" s="123"/>
      <c r="G15" s="122"/>
      <c r="H15" s="123"/>
      <c r="I15" s="123"/>
      <c r="J15" s="123"/>
      <c r="K15" s="123"/>
      <c r="L15" s="123"/>
      <c r="M15" s="123"/>
      <c r="N15" s="123"/>
      <c r="O15" s="123"/>
      <c r="P15" s="123"/>
      <c r="Q15" s="123"/>
    </row>
    <row r="16" spans="2:17" x14ac:dyDescent="0.3">
      <c r="B16" s="122"/>
      <c r="C16" s="125"/>
      <c r="D16" s="125"/>
      <c r="E16" s="125"/>
      <c r="F16" s="125"/>
      <c r="G16" s="122"/>
      <c r="H16" s="125"/>
      <c r="I16" s="126"/>
      <c r="J16" s="126"/>
      <c r="K16" s="126"/>
      <c r="L16" s="126"/>
      <c r="M16" s="126"/>
      <c r="N16" s="126"/>
      <c r="O16" s="126"/>
      <c r="P16" s="126"/>
      <c r="Q16" s="126"/>
    </row>
    <row r="17" spans="2:17" ht="16.2" x14ac:dyDescent="0.3">
      <c r="B17" s="129" t="s">
        <v>178</v>
      </c>
      <c r="C17" s="122"/>
      <c r="D17" s="122"/>
      <c r="E17" s="122"/>
      <c r="F17" s="122"/>
      <c r="G17" s="122"/>
      <c r="H17" s="126">
        <v>0</v>
      </c>
      <c r="I17" s="126">
        <f>$H$17</f>
        <v>0</v>
      </c>
      <c r="J17" s="126">
        <f t="shared" ref="J17:Q17" si="1">$H$17</f>
        <v>0</v>
      </c>
      <c r="K17" s="126">
        <f t="shared" si="1"/>
        <v>0</v>
      </c>
      <c r="L17" s="126">
        <f t="shared" si="1"/>
        <v>0</v>
      </c>
      <c r="M17" s="126">
        <f t="shared" si="1"/>
        <v>0</v>
      </c>
      <c r="N17" s="126">
        <f t="shared" si="1"/>
        <v>0</v>
      </c>
      <c r="O17" s="126">
        <f t="shared" si="1"/>
        <v>0</v>
      </c>
      <c r="P17" s="126">
        <f t="shared" si="1"/>
        <v>0</v>
      </c>
      <c r="Q17" s="126">
        <f t="shared" si="1"/>
        <v>0</v>
      </c>
    </row>
    <row r="18" spans="2:17" x14ac:dyDescent="0.3">
      <c r="B18" s="122" t="s">
        <v>201</v>
      </c>
      <c r="C18" s="125"/>
      <c r="D18" s="123"/>
      <c r="E18" s="123"/>
      <c r="F18" s="123"/>
      <c r="G18" s="122"/>
      <c r="H18" s="124"/>
      <c r="I18" s="124"/>
      <c r="J18" s="124"/>
      <c r="K18" s="124"/>
      <c r="L18" s="124"/>
      <c r="M18" s="124"/>
      <c r="N18" s="124"/>
      <c r="O18" s="124"/>
      <c r="P18" s="124"/>
      <c r="Q18" s="124"/>
    </row>
    <row r="19" spans="2:17" x14ac:dyDescent="0.3">
      <c r="B19" s="122"/>
      <c r="C19" s="125"/>
      <c r="D19" s="125"/>
      <c r="E19" s="125"/>
      <c r="F19" s="125"/>
      <c r="G19" s="122"/>
      <c r="H19" s="125"/>
      <c r="I19" s="126"/>
      <c r="J19" s="126"/>
      <c r="K19" s="126"/>
      <c r="L19" s="126"/>
      <c r="M19" s="126"/>
      <c r="N19" s="126"/>
      <c r="O19" s="126"/>
      <c r="P19" s="126"/>
      <c r="Q19" s="126"/>
    </row>
    <row r="20" spans="2:17" ht="16.2" x14ac:dyDescent="0.3">
      <c r="B20" s="129" t="s">
        <v>179</v>
      </c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</row>
    <row r="21" spans="2:17" x14ac:dyDescent="0.3">
      <c r="B21" s="122" t="s">
        <v>201</v>
      </c>
      <c r="C21" s="125"/>
      <c r="D21" s="123"/>
      <c r="E21" s="123"/>
      <c r="F21" s="123"/>
      <c r="G21" s="122"/>
      <c r="H21" s="123">
        <f>H17-Drivers!$C$13</f>
        <v>-0.02</v>
      </c>
      <c r="I21" s="123">
        <f>I17-Drivers!$C$13</f>
        <v>-0.02</v>
      </c>
      <c r="J21" s="123">
        <f>J17-Drivers!$C$13</f>
        <v>-0.02</v>
      </c>
      <c r="K21" s="123">
        <f>K17-Drivers!$C$13</f>
        <v>-0.02</v>
      </c>
      <c r="L21" s="123">
        <f>L17-Drivers!$C$13</f>
        <v>-0.02</v>
      </c>
      <c r="M21" s="123">
        <f>M17-Drivers!$C$13</f>
        <v>-0.02</v>
      </c>
      <c r="N21" s="123">
        <f>N17-Drivers!$C$13</f>
        <v>-0.02</v>
      </c>
      <c r="O21" s="123">
        <f>O17-Drivers!$C$13</f>
        <v>-0.02</v>
      </c>
      <c r="P21" s="123">
        <f>P17-Drivers!$C$13</f>
        <v>-0.02</v>
      </c>
      <c r="Q21" s="123">
        <f>Q17-Drivers!$C$13</f>
        <v>-0.02</v>
      </c>
    </row>
  </sheetData>
  <mergeCells count="1">
    <mergeCell ref="B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07A5-4399-4390-BA5C-854D4D34210A}">
  <dimension ref="A1:Q7"/>
  <sheetViews>
    <sheetView workbookViewId="0"/>
  </sheetViews>
  <sheetFormatPr defaultColWidth="9.109375" defaultRowHeight="15.6" x14ac:dyDescent="0.3"/>
  <cols>
    <col min="1" max="1" width="3.44140625" style="6" customWidth="1"/>
    <col min="2" max="2" width="28.6640625" style="6" customWidth="1"/>
    <col min="3" max="17" width="9.6640625" style="6" customWidth="1"/>
    <col min="18" max="16384" width="9.109375" style="6"/>
  </cols>
  <sheetData>
    <row r="1" spans="1:17" ht="21" x14ac:dyDescent="0.3">
      <c r="A1" s="55"/>
      <c r="B1" s="16" t="s">
        <v>356</v>
      </c>
    </row>
    <row r="2" spans="1:17" ht="16.2" x14ac:dyDescent="0.3">
      <c r="A2" s="55"/>
      <c r="B2" s="4"/>
    </row>
    <row r="3" spans="1:17" ht="16.2" x14ac:dyDescent="0.3">
      <c r="B3" s="265" t="s">
        <v>205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</row>
    <row r="4" spans="1:17" ht="32.4" x14ac:dyDescent="0.3">
      <c r="B4" s="114" t="s">
        <v>200</v>
      </c>
      <c r="C4" s="19" t="s">
        <v>17</v>
      </c>
      <c r="D4" s="19" t="s">
        <v>18</v>
      </c>
      <c r="E4" s="19" t="s">
        <v>19</v>
      </c>
      <c r="F4" s="19" t="s">
        <v>20</v>
      </c>
      <c r="G4" s="19" t="s">
        <v>21</v>
      </c>
      <c r="H4" s="57" t="s">
        <v>204</v>
      </c>
      <c r="I4" s="57" t="s">
        <v>105</v>
      </c>
      <c r="J4" s="57" t="s">
        <v>106</v>
      </c>
      <c r="K4" s="57" t="s">
        <v>107</v>
      </c>
      <c r="L4" s="57" t="s">
        <v>108</v>
      </c>
      <c r="M4" s="57" t="s">
        <v>109</v>
      </c>
      <c r="N4" s="57" t="s">
        <v>110</v>
      </c>
      <c r="O4" s="57" t="s">
        <v>111</v>
      </c>
      <c r="P4" s="57" t="s">
        <v>112</v>
      </c>
      <c r="Q4" s="57" t="s">
        <v>113</v>
      </c>
    </row>
    <row r="5" spans="1:17" x14ac:dyDescent="0.3">
      <c r="B5" s="6" t="s">
        <v>23</v>
      </c>
      <c r="C5" s="119">
        <f>-('Revenue Energy, service &amp; Other'!C5-'Energy, services &amp; Other GP'!C5)</f>
        <v>-12.287000000000001</v>
      </c>
      <c r="D5" s="119">
        <f>-('Revenue Energy, service &amp; Other'!D5-'Energy, services &amp; Other GP'!D5)</f>
        <v>-178.33199999999999</v>
      </c>
      <c r="E5" s="119">
        <f>-('Revenue Energy, service &amp; Other'!E5-'Energy, services &amp; Other GP'!E5)</f>
        <v>-874.53800000000001</v>
      </c>
      <c r="F5" s="119">
        <f>-('Revenue Energy, service &amp; Other'!F5-'Energy, services &amp; Other GP'!F5)</f>
        <v>-1364.896</v>
      </c>
      <c r="G5" s="119">
        <f>-('Revenue Energy, service &amp; Other'!G5-'Energy, services &amp; Other GP'!G5)</f>
        <v>-1341</v>
      </c>
      <c r="H5" s="20" t="s">
        <v>122</v>
      </c>
      <c r="I5" s="20" t="s">
        <v>122</v>
      </c>
      <c r="J5" s="20" t="s">
        <v>122</v>
      </c>
      <c r="K5" s="20" t="s">
        <v>122</v>
      </c>
      <c r="L5" s="20" t="s">
        <v>122</v>
      </c>
      <c r="M5" s="20" t="s">
        <v>122</v>
      </c>
      <c r="N5" s="20" t="s">
        <v>122</v>
      </c>
      <c r="O5" s="20" t="s">
        <v>122</v>
      </c>
      <c r="P5" s="20" t="s">
        <v>122</v>
      </c>
      <c r="Q5" s="20" t="s">
        <v>122</v>
      </c>
    </row>
    <row r="6" spans="1:17" x14ac:dyDescent="0.3">
      <c r="B6" s="6" t="s">
        <v>24</v>
      </c>
      <c r="C6" s="119">
        <f>-('Revenue Energy, service &amp; Other'!C6-'Energy, services &amp; Other GP'!C6)</f>
        <v>-286.93299999999999</v>
      </c>
      <c r="D6" s="119">
        <f>-('Revenue Energy, service &amp; Other'!D6-'Energy, services &amp; Other GP'!D6)</f>
        <v>-472.46199999999999</v>
      </c>
      <c r="E6" s="119">
        <f>-('Revenue Energy, service &amp; Other'!E6-'Energy, services &amp; Other GP'!E6)</f>
        <v>-1229.0219999999999</v>
      </c>
      <c r="F6" s="119">
        <f>-('Revenue Energy, service &amp; Other'!F6-'Energy, services &amp; Other GP'!F6)</f>
        <v>-1880.3539999999998</v>
      </c>
      <c r="G6" s="119">
        <f>-('Revenue Energy, service &amp; Other'!G6-'Energy, services &amp; Other GP'!G6)</f>
        <v>-2770</v>
      </c>
      <c r="H6" s="20" t="s">
        <v>122</v>
      </c>
      <c r="I6" s="20" t="s">
        <v>122</v>
      </c>
      <c r="J6" s="20" t="s">
        <v>122</v>
      </c>
      <c r="K6" s="20" t="s">
        <v>122</v>
      </c>
      <c r="L6" s="20" t="s">
        <v>122</v>
      </c>
      <c r="M6" s="20" t="s">
        <v>122</v>
      </c>
      <c r="N6" s="20" t="s">
        <v>122</v>
      </c>
      <c r="O6" s="20" t="s">
        <v>122</v>
      </c>
      <c r="P6" s="20" t="s">
        <v>122</v>
      </c>
      <c r="Q6" s="20" t="s">
        <v>122</v>
      </c>
    </row>
    <row r="7" spans="1:17" ht="16.8" thickBot="1" x14ac:dyDescent="0.4">
      <c r="B7" s="23" t="s">
        <v>201</v>
      </c>
      <c r="C7" s="61">
        <f>SUM(C5:C6)</f>
        <v>-299.21999999999997</v>
      </c>
      <c r="D7" s="61">
        <f t="shared" ref="D7:G7" si="0">SUM(D5:D6)</f>
        <v>-650.79399999999998</v>
      </c>
      <c r="E7" s="61">
        <f t="shared" si="0"/>
        <v>-2103.56</v>
      </c>
      <c r="F7" s="61">
        <f t="shared" si="0"/>
        <v>-3245.25</v>
      </c>
      <c r="G7" s="61">
        <f t="shared" si="0"/>
        <v>-4111</v>
      </c>
      <c r="H7" s="132">
        <f>-('Revenue Energy, service &amp; Other'!H7-'Energy, services &amp; Other GP'!H7)</f>
        <v>-4418.232</v>
      </c>
      <c r="I7" s="132">
        <f>-('Revenue Energy, service &amp; Other'!I7-'Energy, services &amp; Other GP'!I7)</f>
        <v>-5036.7844799999993</v>
      </c>
      <c r="J7" s="132">
        <f>-('Revenue Energy, service &amp; Other'!J7-'Energy, services &amp; Other GP'!J7)</f>
        <v>-5540.4629279999999</v>
      </c>
      <c r="K7" s="132">
        <f>-('Revenue Energy, service &amp; Other'!K7-'Energy, services &amp; Other GP'!K7)</f>
        <v>-5983.6999622399999</v>
      </c>
      <c r="L7" s="132">
        <f>-('Revenue Energy, service &amp; Other'!L7-'Energy, services &amp; Other GP'!L7)</f>
        <v>-6462.3959592192004</v>
      </c>
      <c r="M7" s="132">
        <f>-('Revenue Energy, service &amp; Other'!M7-'Energy, services &amp; Other GP'!M7)</f>
        <v>-6979.3876359567375</v>
      </c>
      <c r="N7" s="132">
        <f>-('Revenue Energy, service &amp; Other'!N7-'Energy, services &amp; Other GP'!N7)</f>
        <v>-7537.738646833277</v>
      </c>
      <c r="O7" s="132">
        <f>-('Revenue Energy, service &amp; Other'!O7-'Energy, services &amp; Other GP'!O7)</f>
        <v>-8140.7577385799395</v>
      </c>
      <c r="P7" s="132">
        <f>-('Revenue Energy, service &amp; Other'!P7-'Energy, services &amp; Other GP'!P7)</f>
        <v>-8792.0183576663367</v>
      </c>
      <c r="Q7" s="132">
        <f>-('Revenue Energy, service &amp; Other'!Q7-'Energy, services &amp; Other GP'!Q7)</f>
        <v>-9495.3798262796427</v>
      </c>
    </row>
  </sheetData>
  <mergeCells count="1">
    <mergeCell ref="B3:Q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A6D6-2C57-44BA-B00D-001E722E3C09}">
  <sheetPr>
    <tabColor rgb="FF002060"/>
  </sheetPr>
  <dimension ref="B13"/>
  <sheetViews>
    <sheetView showGridLines="0" workbookViewId="0"/>
  </sheetViews>
  <sheetFormatPr defaultRowHeight="14.4" x14ac:dyDescent="0.3"/>
  <sheetData>
    <row r="13" spans="2:2" ht="61.8" x14ac:dyDescent="1.1499999999999999">
      <c r="B13" s="41" t="s">
        <v>357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160A-972B-4CC0-AF4A-1C79620DFAC2}">
  <dimension ref="A1:F18"/>
  <sheetViews>
    <sheetView workbookViewId="0"/>
  </sheetViews>
  <sheetFormatPr defaultColWidth="9.109375" defaultRowHeight="15.6" x14ac:dyDescent="0.3"/>
  <cols>
    <col min="1" max="1" width="4" style="6" customWidth="1"/>
    <col min="2" max="2" width="17.6640625" style="6" customWidth="1"/>
    <col min="3" max="3" width="35.88671875" style="6" customWidth="1"/>
    <col min="4" max="4" width="14.88671875" style="6" customWidth="1"/>
    <col min="5" max="6" width="9.109375" style="6"/>
    <col min="7" max="7" width="2" style="6" customWidth="1"/>
    <col min="8" max="16384" width="9.109375" style="6"/>
  </cols>
  <sheetData>
    <row r="1" spans="1:6" ht="21" x14ac:dyDescent="0.3">
      <c r="A1" s="55"/>
      <c r="B1" s="16" t="s">
        <v>358</v>
      </c>
    </row>
    <row r="2" spans="1:6" ht="16.2" x14ac:dyDescent="0.3">
      <c r="A2" s="55"/>
      <c r="B2" s="4"/>
    </row>
    <row r="3" spans="1:6" ht="16.2" x14ac:dyDescent="0.3">
      <c r="A3" s="55"/>
      <c r="B3" s="4" t="s">
        <v>206</v>
      </c>
    </row>
    <row r="5" spans="1:6" x14ac:dyDescent="0.3">
      <c r="F5" s="6" t="s">
        <v>138</v>
      </c>
    </row>
    <row r="6" spans="1:6" ht="32.4" x14ac:dyDescent="0.35">
      <c r="B6" s="107" t="s">
        <v>3</v>
      </c>
      <c r="C6" s="50" t="s">
        <v>140</v>
      </c>
      <c r="D6" s="50" t="s">
        <v>141</v>
      </c>
    </row>
    <row r="7" spans="1:6" x14ac:dyDescent="0.3">
      <c r="B7" s="6" t="s">
        <v>142</v>
      </c>
      <c r="C7" s="133">
        <v>0.152</v>
      </c>
      <c r="D7" s="8">
        <f>C7</f>
        <v>0.152</v>
      </c>
    </row>
    <row r="8" spans="1:6" x14ac:dyDescent="0.3">
      <c r="B8" s="6" t="s">
        <v>143</v>
      </c>
      <c r="C8" s="8">
        <v>0.13234765875561258</v>
      </c>
      <c r="D8" s="8">
        <f>C8</f>
        <v>0.13234765875561258</v>
      </c>
    </row>
    <row r="9" spans="1:6" x14ac:dyDescent="0.3">
      <c r="B9" s="6" t="s">
        <v>144</v>
      </c>
      <c r="C9" s="8">
        <v>9.3051845415807813E-2</v>
      </c>
      <c r="D9" s="8">
        <f>C9</f>
        <v>9.3051845415807813E-2</v>
      </c>
    </row>
    <row r="10" spans="1:6" x14ac:dyDescent="0.3">
      <c r="B10" s="6" t="s">
        <v>145</v>
      </c>
      <c r="C10" s="8">
        <v>9.9485177024934007E-2</v>
      </c>
      <c r="D10" s="8">
        <f>C10</f>
        <v>9.9485177024934007E-2</v>
      </c>
    </row>
    <row r="11" spans="1:6" x14ac:dyDescent="0.3">
      <c r="B11" s="6" t="s">
        <v>146</v>
      </c>
      <c r="C11" s="10">
        <v>0.11</v>
      </c>
      <c r="D11" s="8">
        <f>C11</f>
        <v>0.11</v>
      </c>
    </row>
    <row r="12" spans="1:6" x14ac:dyDescent="0.3">
      <c r="B12" s="63" t="s">
        <v>207</v>
      </c>
      <c r="C12" s="66">
        <v>0.37065334104237219</v>
      </c>
      <c r="D12" s="66"/>
    </row>
    <row r="13" spans="1:6" x14ac:dyDescent="0.3">
      <c r="B13" s="6" t="s">
        <v>208</v>
      </c>
      <c r="C13" s="10">
        <v>0.30660065131342956</v>
      </c>
      <c r="D13" s="8">
        <f>C13</f>
        <v>0.30660065131342956</v>
      </c>
    </row>
    <row r="14" spans="1:6" x14ac:dyDescent="0.3">
      <c r="B14" s="63" t="s">
        <v>209</v>
      </c>
      <c r="C14" s="66">
        <v>0.27674450401753298</v>
      </c>
      <c r="D14" s="66"/>
    </row>
    <row r="15" spans="1:6" x14ac:dyDescent="0.3">
      <c r="B15" s="6" t="s">
        <v>210</v>
      </c>
      <c r="C15" s="8">
        <v>0.15</v>
      </c>
      <c r="D15" s="8">
        <f>C15</f>
        <v>0.15</v>
      </c>
    </row>
    <row r="16" spans="1:6" x14ac:dyDescent="0.3">
      <c r="B16" s="6" t="s">
        <v>211</v>
      </c>
      <c r="C16" s="8">
        <v>0.15</v>
      </c>
      <c r="D16" s="8">
        <f>C16</f>
        <v>0.15</v>
      </c>
    </row>
    <row r="17" spans="2:4" x14ac:dyDescent="0.3">
      <c r="B17" s="6" t="s">
        <v>212</v>
      </c>
      <c r="C17" s="8">
        <v>3.6857379767827526E-2</v>
      </c>
      <c r="D17" s="8">
        <f>C17</f>
        <v>3.6857379767827526E-2</v>
      </c>
    </row>
    <row r="18" spans="2:4" ht="16.2" x14ac:dyDescent="0.3">
      <c r="B18" s="21" t="s">
        <v>140</v>
      </c>
      <c r="C18" s="134">
        <f>AVERAGE(C7:C17)</f>
        <v>0.17070368703068331</v>
      </c>
      <c r="D18" s="134">
        <f>AVERAGE(D7:D17)</f>
        <v>0.13670474580862349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3F7A-F4EE-4203-9D2A-EA6856FAF663}">
  <dimension ref="A1:Q20"/>
  <sheetViews>
    <sheetView workbookViewId="0"/>
  </sheetViews>
  <sheetFormatPr defaultColWidth="9.109375" defaultRowHeight="15.6" x14ac:dyDescent="0.3"/>
  <cols>
    <col min="1" max="1" width="3.44140625" style="6" customWidth="1"/>
    <col min="2" max="2" width="25.6640625" style="6" bestFit="1" customWidth="1"/>
    <col min="3" max="7" width="9.6640625" style="6" customWidth="1"/>
    <col min="8" max="8" width="8.88671875" style="6" bestFit="1" customWidth="1"/>
    <col min="9" max="9" width="9.6640625" style="6" customWidth="1"/>
    <col min="10" max="10" width="8.88671875" style="6" bestFit="1" customWidth="1"/>
    <col min="11" max="12" width="10.109375" style="6" bestFit="1" customWidth="1"/>
    <col min="13" max="17" width="11.21875" style="6" bestFit="1" customWidth="1"/>
    <col min="18" max="16384" width="9.109375" style="6"/>
  </cols>
  <sheetData>
    <row r="1" spans="1:17" ht="21" x14ac:dyDescent="0.3">
      <c r="A1" s="55"/>
      <c r="B1" s="16" t="s">
        <v>359</v>
      </c>
    </row>
    <row r="3" spans="1:17" ht="16.2" x14ac:dyDescent="0.3">
      <c r="B3" s="265" t="s">
        <v>214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</row>
    <row r="4" spans="1:17" ht="32.4" x14ac:dyDescent="0.3">
      <c r="B4" s="114" t="s">
        <v>200</v>
      </c>
      <c r="C4" s="19" t="s">
        <v>17</v>
      </c>
      <c r="D4" s="19" t="s">
        <v>18</v>
      </c>
      <c r="E4" s="19" t="s">
        <v>19</v>
      </c>
      <c r="F4" s="19" t="s">
        <v>20</v>
      </c>
      <c r="G4" s="19" t="s">
        <v>21</v>
      </c>
      <c r="H4" s="57" t="s">
        <v>104</v>
      </c>
      <c r="I4" s="57" t="s">
        <v>105</v>
      </c>
      <c r="J4" s="57" t="s">
        <v>106</v>
      </c>
      <c r="K4" s="57" t="s">
        <v>107</v>
      </c>
      <c r="L4" s="57" t="s">
        <v>108</v>
      </c>
      <c r="M4" s="57" t="s">
        <v>109</v>
      </c>
      <c r="N4" s="57" t="s">
        <v>110</v>
      </c>
      <c r="O4" s="57" t="s">
        <v>111</v>
      </c>
      <c r="P4" s="57" t="s">
        <v>112</v>
      </c>
      <c r="Q4" s="57" t="s">
        <v>113</v>
      </c>
    </row>
    <row r="5" spans="1:17" x14ac:dyDescent="0.3">
      <c r="B5" s="6" t="s">
        <v>215</v>
      </c>
      <c r="C5" s="119">
        <f>'[1]Revenue Energy &amp; Other'!C7+'[1]Revenue automotive'!C11</f>
        <v>4046.0250000000001</v>
      </c>
      <c r="D5" s="119">
        <f>'[1]Revenue Energy &amp; Other'!D7+'[1]Revenue automotive'!D11</f>
        <v>7000.1319999999996</v>
      </c>
      <c r="E5" s="119">
        <f>'[1]Revenue Energy &amp; Other'!E7+'[1]Revenue automotive'!E11</f>
        <v>11758.751</v>
      </c>
      <c r="F5" s="119">
        <f>'[1]Revenue Energy &amp; Other'!F7+'[1]Revenue automotive'!F11</f>
        <v>21461.268</v>
      </c>
      <c r="G5" s="20">
        <f>'[1]Revenue Energy &amp; Other'!G7+'[1]Revenue automotive'!G11</f>
        <v>24578</v>
      </c>
      <c r="H5" s="58">
        <f>'Tesla Revenue Automotive'!H11+'Revenue Energy, service &amp; Other'!H7</f>
        <v>38391.95310862</v>
      </c>
      <c r="I5" s="58">
        <f>'Tesla Revenue Automotive'!I11+'Revenue Energy, service &amp; Other'!I7</f>
        <v>51006.612211716805</v>
      </c>
      <c r="J5" s="58">
        <f>'Tesla Revenue Automotive'!J11+'Revenue Energy, service &amp; Other'!J7</f>
        <v>69356.386011189825</v>
      </c>
      <c r="K5" s="58">
        <f>'Tesla Revenue Automotive'!K11+'Revenue Energy, service &amp; Other'!K7</f>
        <v>89259.573600490941</v>
      </c>
      <c r="L5" s="58">
        <f>'Tesla Revenue Automotive'!L11+'Revenue Energy, service &amp; Other'!L7</f>
        <v>102050.01065551401</v>
      </c>
      <c r="M5" s="58">
        <f>'Tesla Revenue Automotive'!M11+'Revenue Energy, service &amp; Other'!M7</f>
        <v>109367.26777153785</v>
      </c>
      <c r="N5" s="58">
        <f>'Tesla Revenue Automotive'!N11+'Revenue Energy, service &amp; Other'!N7</f>
        <v>116570.75443181407</v>
      </c>
      <c r="O5" s="58">
        <f>'Tesla Revenue Automotive'!O11+'Revenue Energy, service &amp; Other'!O7</f>
        <v>123909.25721540475</v>
      </c>
      <c r="P5" s="58">
        <f>'Tesla Revenue Automotive'!P11+'Revenue Energy, service &amp; Other'!P7</f>
        <v>130064.74813514538</v>
      </c>
      <c r="Q5" s="58">
        <f>'Tesla Revenue Automotive'!Q11+'Revenue Energy, service &amp; Other'!Q7</f>
        <v>135626.19595270083</v>
      </c>
    </row>
    <row r="6" spans="1:17" x14ac:dyDescent="0.3">
      <c r="B6" s="6" t="s">
        <v>216</v>
      </c>
      <c r="C6" s="135">
        <f>C7/C5</f>
        <v>-0.40536872609536523</v>
      </c>
      <c r="D6" s="135">
        <f>D7/D5</f>
        <v>-0.32379346560893429</v>
      </c>
      <c r="E6" s="135">
        <f>E7/E5</f>
        <v>-0.32780462822964784</v>
      </c>
      <c r="F6" s="135">
        <f>F7/F5</f>
        <v>-0.20642275190822834</v>
      </c>
      <c r="G6" s="135">
        <f>G7/G5</f>
        <v>-0.16836194971112378</v>
      </c>
      <c r="H6" s="136">
        <f>H10</f>
        <v>-0.11670474580862349</v>
      </c>
      <c r="I6" s="136">
        <f t="shared" ref="I6:Q6" si="0">I10</f>
        <v>-0.11670474580862349</v>
      </c>
      <c r="J6" s="136">
        <f t="shared" si="0"/>
        <v>-0.11670474580862349</v>
      </c>
      <c r="K6" s="136">
        <f t="shared" si="0"/>
        <v>-0.11670474580862349</v>
      </c>
      <c r="L6" s="136">
        <f t="shared" si="0"/>
        <v>-0.11670474580862349</v>
      </c>
      <c r="M6" s="136">
        <f t="shared" si="0"/>
        <v>-0.11670474580862349</v>
      </c>
      <c r="N6" s="136">
        <f t="shared" si="0"/>
        <v>-0.11670474580862349</v>
      </c>
      <c r="O6" s="136">
        <f t="shared" si="0"/>
        <v>-0.11670474580862349</v>
      </c>
      <c r="P6" s="136">
        <f t="shared" si="0"/>
        <v>-0.11670474580862349</v>
      </c>
      <c r="Q6" s="136">
        <f t="shared" si="0"/>
        <v>-0.11670474580862349</v>
      </c>
    </row>
    <row r="7" spans="1:17" ht="16.2" x14ac:dyDescent="0.3">
      <c r="B7" s="112" t="s">
        <v>213</v>
      </c>
      <c r="C7" s="112">
        <f>('[1]P&amp;L Input'!C12+'[1]P&amp;L Input'!C13+'[1]P&amp;L Input'!C14)/1000</f>
        <v>-1640.1320000000001</v>
      </c>
      <c r="D7" s="112">
        <f>('[1]P&amp;L Input'!D12+'[1]P&amp;L Input'!D13+'[1]P&amp;L Input'!D14)/1000</f>
        <v>-2266.5970000000002</v>
      </c>
      <c r="E7" s="112">
        <f>('[1]P&amp;L Input'!E12+'[1]P&amp;L Input'!E13+'[1]P&amp;L Input'!E14)/1000</f>
        <v>-3854.5729999999999</v>
      </c>
      <c r="F7" s="112">
        <f>('[1]P&amp;L Input'!F12+'[1]P&amp;L Input'!F13+'[1]P&amp;L Input'!F14)/1000</f>
        <v>-4430.0940000000001</v>
      </c>
      <c r="G7" s="112">
        <f>('[1]P&amp;L Input'!G12+'[1]P&amp;L Input'!G13+'[1]P&amp;L Input'!G14)/1000</f>
        <v>-4138</v>
      </c>
      <c r="H7" s="137">
        <f>H5*H6</f>
        <v>-4480.5231286380895</v>
      </c>
      <c r="I7" s="137">
        <f t="shared" ref="I7:Q7" si="1">I5*I6</f>
        <v>-5952.71371272744</v>
      </c>
      <c r="J7" s="137">
        <f t="shared" si="1"/>
        <v>-8094.2193996406786</v>
      </c>
      <c r="K7" s="137">
        <f t="shared" si="1"/>
        <v>-10417.015848031415</v>
      </c>
      <c r="L7" s="137">
        <f t="shared" si="1"/>
        <v>-11909.720553319081</v>
      </c>
      <c r="M7" s="137">
        <f t="shared" si="1"/>
        <v>-12763.679185060984</v>
      </c>
      <c r="N7" s="137">
        <f t="shared" si="1"/>
        <v>-13604.36026468433</v>
      </c>
      <c r="O7" s="137">
        <f t="shared" si="1"/>
        <v>-14460.798366659157</v>
      </c>
      <c r="P7" s="137">
        <f t="shared" si="1"/>
        <v>-15179.173369774777</v>
      </c>
      <c r="Q7" s="137">
        <f t="shared" si="1"/>
        <v>-15828.220723650509</v>
      </c>
    </row>
    <row r="8" spans="1:17" x14ac:dyDescent="0.3"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</row>
    <row r="9" spans="1:17" ht="16.2" x14ac:dyDescent="0.3">
      <c r="B9" s="7" t="s">
        <v>2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</row>
    <row r="10" spans="1:17" x14ac:dyDescent="0.3">
      <c r="B10" s="63" t="s">
        <v>217</v>
      </c>
      <c r="C10" s="123"/>
      <c r="D10" s="123"/>
      <c r="E10" s="123"/>
      <c r="F10" s="123"/>
      <c r="G10" s="63"/>
      <c r="H10" s="124">
        <f>CHOOSE(Drivers!$C$3,H14,H17,H20)</f>
        <v>-0.11670474580862349</v>
      </c>
      <c r="I10" s="124">
        <f>CHOOSE(Drivers!$C$3,I14,I17,I20)</f>
        <v>-0.11670474580862349</v>
      </c>
      <c r="J10" s="124">
        <f>CHOOSE(Drivers!$C$3,J14,J17,J20)</f>
        <v>-0.11670474580862349</v>
      </c>
      <c r="K10" s="124">
        <f>CHOOSE(Drivers!$C$3,K14,K17,K20)</f>
        <v>-0.11670474580862349</v>
      </c>
      <c r="L10" s="124">
        <f>CHOOSE(Drivers!$C$3,L14,L17,L20)</f>
        <v>-0.11670474580862349</v>
      </c>
      <c r="M10" s="124">
        <f>CHOOSE(Drivers!$C$3,M14,M17,M20)</f>
        <v>-0.11670474580862349</v>
      </c>
      <c r="N10" s="124">
        <f>CHOOSE(Drivers!$C$3,N14,N17,N20)</f>
        <v>-0.11670474580862349</v>
      </c>
      <c r="O10" s="124">
        <f>CHOOSE(Drivers!$C$3,O14,O17,O20)</f>
        <v>-0.11670474580862349</v>
      </c>
      <c r="P10" s="124">
        <f>CHOOSE(Drivers!$C$3,P14,P17,P20)</f>
        <v>-0.11670474580862349</v>
      </c>
      <c r="Q10" s="124">
        <f>CHOOSE(Drivers!$C$3,Q14,Q17,Q20)</f>
        <v>-0.11670474580862349</v>
      </c>
    </row>
    <row r="11" spans="1:17" x14ac:dyDescent="0.3">
      <c r="B11" s="63"/>
      <c r="C11" s="64"/>
      <c r="D11" s="64"/>
      <c r="E11" s="64"/>
      <c r="F11" s="64"/>
      <c r="G11" s="63"/>
      <c r="H11" s="64"/>
      <c r="I11" s="68"/>
      <c r="J11" s="68"/>
      <c r="K11" s="68"/>
      <c r="L11" s="68"/>
      <c r="M11" s="68"/>
      <c r="N11" s="68"/>
      <c r="O11" s="68"/>
      <c r="P11" s="68"/>
      <c r="Q11" s="68"/>
    </row>
    <row r="12" spans="1:17" ht="16.2" x14ac:dyDescent="0.3">
      <c r="B12" s="7" t="s">
        <v>218</v>
      </c>
      <c r="C12" s="64"/>
      <c r="D12" s="64"/>
      <c r="E12" s="64"/>
      <c r="F12" s="64"/>
      <c r="G12" s="63"/>
      <c r="H12" s="64"/>
      <c r="I12" s="68"/>
      <c r="J12" s="68"/>
      <c r="K12" s="68"/>
      <c r="L12" s="68"/>
      <c r="M12" s="68"/>
      <c r="N12" s="68"/>
      <c r="O12" s="68"/>
      <c r="P12" s="68"/>
      <c r="Q12" s="68"/>
    </row>
    <row r="13" spans="1:17" ht="16.2" x14ac:dyDescent="0.3">
      <c r="B13" s="7" t="s">
        <v>177</v>
      </c>
      <c r="C13" s="63"/>
      <c r="D13" s="63"/>
      <c r="E13" s="63"/>
      <c r="F13" s="63"/>
      <c r="G13" s="63"/>
      <c r="H13" s="68"/>
      <c r="I13" s="68"/>
      <c r="J13" s="68"/>
      <c r="K13" s="68"/>
      <c r="L13" s="68"/>
      <c r="M13" s="68"/>
      <c r="N13" s="68"/>
      <c r="O13" s="68"/>
      <c r="P13" s="68"/>
      <c r="Q13" s="68"/>
    </row>
    <row r="14" spans="1:17" x14ac:dyDescent="0.3">
      <c r="B14" s="63" t="s">
        <v>217</v>
      </c>
      <c r="C14" s="64"/>
      <c r="D14" s="123"/>
      <c r="E14" s="123"/>
      <c r="F14" s="123"/>
      <c r="G14" s="63"/>
      <c r="H14" s="124">
        <f>H17+2%</f>
        <v>-0.11670474580862349</v>
      </c>
      <c r="I14" s="124">
        <f t="shared" ref="I14:Q14" si="2">I17+2%</f>
        <v>-0.11670474580862349</v>
      </c>
      <c r="J14" s="124">
        <f t="shared" si="2"/>
        <v>-0.11670474580862349</v>
      </c>
      <c r="K14" s="124">
        <f t="shared" si="2"/>
        <v>-0.11670474580862349</v>
      </c>
      <c r="L14" s="124">
        <f t="shared" si="2"/>
        <v>-0.11670474580862349</v>
      </c>
      <c r="M14" s="124">
        <f t="shared" si="2"/>
        <v>-0.11670474580862349</v>
      </c>
      <c r="N14" s="124">
        <f t="shared" si="2"/>
        <v>-0.11670474580862349</v>
      </c>
      <c r="O14" s="124">
        <f t="shared" si="2"/>
        <v>-0.11670474580862349</v>
      </c>
      <c r="P14" s="124">
        <f t="shared" si="2"/>
        <v>-0.11670474580862349</v>
      </c>
      <c r="Q14" s="124">
        <f t="shared" si="2"/>
        <v>-0.11670474580862349</v>
      </c>
    </row>
    <row r="15" spans="1:17" x14ac:dyDescent="0.3">
      <c r="B15" s="63"/>
      <c r="C15" s="64"/>
      <c r="D15" s="64"/>
      <c r="E15" s="64"/>
      <c r="F15" s="64"/>
      <c r="G15" s="63"/>
      <c r="H15" s="64"/>
      <c r="I15" s="68"/>
      <c r="J15" s="68"/>
      <c r="K15" s="68"/>
      <c r="L15" s="68"/>
      <c r="M15" s="68"/>
      <c r="N15" s="68"/>
      <c r="O15" s="68"/>
      <c r="P15" s="68"/>
      <c r="Q15" s="68"/>
    </row>
    <row r="16" spans="1:17" ht="16.2" x14ac:dyDescent="0.3">
      <c r="B16" s="7" t="s">
        <v>178</v>
      </c>
      <c r="C16" s="63"/>
      <c r="D16" s="63"/>
      <c r="E16" s="63"/>
      <c r="F16" s="63"/>
      <c r="G16" s="63"/>
      <c r="H16" s="68"/>
      <c r="I16" s="68"/>
      <c r="J16" s="68"/>
      <c r="K16" s="68"/>
      <c r="L16" s="68"/>
      <c r="M16" s="68"/>
      <c r="N16" s="68"/>
      <c r="O16" s="68"/>
      <c r="P16" s="68"/>
      <c r="Q16" s="68"/>
    </row>
    <row r="17" spans="2:17" x14ac:dyDescent="0.3">
      <c r="B17" s="63" t="s">
        <v>217</v>
      </c>
      <c r="C17" s="64"/>
      <c r="D17" s="123"/>
      <c r="E17" s="123"/>
      <c r="F17" s="123"/>
      <c r="G17" s="63"/>
      <c r="H17" s="124">
        <f>-'Tesla Opex comparables'!$D$18</f>
        <v>-0.13670474580862349</v>
      </c>
      <c r="I17" s="124">
        <f>-'Tesla Opex comparables'!$D$18</f>
        <v>-0.13670474580862349</v>
      </c>
      <c r="J17" s="124">
        <f>-'Tesla Opex comparables'!$D$18</f>
        <v>-0.13670474580862349</v>
      </c>
      <c r="K17" s="124">
        <f>-'Tesla Opex comparables'!$D$18</f>
        <v>-0.13670474580862349</v>
      </c>
      <c r="L17" s="124">
        <f>-'Tesla Opex comparables'!$D$18</f>
        <v>-0.13670474580862349</v>
      </c>
      <c r="M17" s="124">
        <f>-'Tesla Opex comparables'!$D$18</f>
        <v>-0.13670474580862349</v>
      </c>
      <c r="N17" s="124">
        <f>-'Tesla Opex comparables'!$D$18</f>
        <v>-0.13670474580862349</v>
      </c>
      <c r="O17" s="124">
        <f>-'Tesla Opex comparables'!$D$18</f>
        <v>-0.13670474580862349</v>
      </c>
      <c r="P17" s="124">
        <f>-'Tesla Opex comparables'!$D$18</f>
        <v>-0.13670474580862349</v>
      </c>
      <c r="Q17" s="124">
        <f>-'Tesla Opex comparables'!$D$18</f>
        <v>-0.13670474580862349</v>
      </c>
    </row>
    <row r="18" spans="2:17" x14ac:dyDescent="0.3">
      <c r="B18" s="63"/>
      <c r="C18" s="64"/>
      <c r="D18" s="64"/>
      <c r="E18" s="64"/>
      <c r="F18" s="64"/>
      <c r="G18" s="63"/>
      <c r="H18" s="64"/>
      <c r="I18" s="68"/>
      <c r="J18" s="68"/>
      <c r="K18" s="68"/>
      <c r="L18" s="68"/>
      <c r="M18" s="68"/>
      <c r="N18" s="68"/>
      <c r="O18" s="68"/>
      <c r="P18" s="68"/>
      <c r="Q18" s="68"/>
    </row>
    <row r="19" spans="2:17" ht="16.2" x14ac:dyDescent="0.3">
      <c r="B19" s="7" t="s">
        <v>179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</row>
    <row r="20" spans="2:17" x14ac:dyDescent="0.3">
      <c r="B20" s="63" t="s">
        <v>217</v>
      </c>
      <c r="C20" s="64"/>
      <c r="D20" s="123"/>
      <c r="E20" s="123"/>
      <c r="F20" s="123"/>
      <c r="G20" s="63"/>
      <c r="H20" s="124">
        <f>H17-2%</f>
        <v>-0.15670474580862348</v>
      </c>
      <c r="I20" s="124">
        <f t="shared" ref="I20:Q20" si="3">I17-2%</f>
        <v>-0.15670474580862348</v>
      </c>
      <c r="J20" s="124">
        <f t="shared" si="3"/>
        <v>-0.15670474580862348</v>
      </c>
      <c r="K20" s="124">
        <f t="shared" si="3"/>
        <v>-0.15670474580862348</v>
      </c>
      <c r="L20" s="124">
        <f t="shared" si="3"/>
        <v>-0.15670474580862348</v>
      </c>
      <c r="M20" s="124">
        <f t="shared" si="3"/>
        <v>-0.15670474580862348</v>
      </c>
      <c r="N20" s="124">
        <f t="shared" si="3"/>
        <v>-0.15670474580862348</v>
      </c>
      <c r="O20" s="124">
        <f t="shared" si="3"/>
        <v>-0.15670474580862348</v>
      </c>
      <c r="P20" s="124">
        <f t="shared" si="3"/>
        <v>-0.15670474580862348</v>
      </c>
      <c r="Q20" s="124">
        <f t="shared" si="3"/>
        <v>-0.15670474580862348</v>
      </c>
    </row>
  </sheetData>
  <mergeCells count="1">
    <mergeCell ref="B3:Q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2FD6-35E8-46D4-B888-7F5B87A8BFE5}">
  <sheetPr>
    <tabColor rgb="FF002060"/>
  </sheetPr>
  <dimension ref="B13"/>
  <sheetViews>
    <sheetView showGridLines="0" workbookViewId="0"/>
  </sheetViews>
  <sheetFormatPr defaultRowHeight="14.4" x14ac:dyDescent="0.3"/>
  <sheetData>
    <row r="13" spans="2:2" ht="60.6" x14ac:dyDescent="0.3">
      <c r="B13" s="141" t="s">
        <v>360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D97A-2025-4FBA-AEB2-5BE0C1CF245A}">
  <dimension ref="A1:Q43"/>
  <sheetViews>
    <sheetView zoomScaleNormal="100" workbookViewId="0"/>
  </sheetViews>
  <sheetFormatPr defaultColWidth="9.109375" defaultRowHeight="15.6" x14ac:dyDescent="0.3"/>
  <cols>
    <col min="1" max="1" width="2" style="5" customWidth="1"/>
    <col min="2" max="2" width="31.88671875" style="5" customWidth="1"/>
    <col min="3" max="3" width="12.88671875" style="5" bestFit="1" customWidth="1"/>
    <col min="4" max="4" width="13.5546875" style="5" customWidth="1"/>
    <col min="5" max="5" width="12.5546875" style="5" customWidth="1"/>
    <col min="6" max="6" width="13.77734375" style="5" customWidth="1"/>
    <col min="7" max="7" width="13.44140625" style="5" customWidth="1"/>
    <col min="8" max="8" width="14.77734375" style="5" customWidth="1"/>
    <col min="9" max="9" width="12.77734375" style="5" customWidth="1"/>
    <col min="10" max="10" width="12.109375" style="5" customWidth="1"/>
    <col min="11" max="11" width="12.33203125" style="5" bestFit="1" customWidth="1"/>
    <col min="12" max="12" width="12.6640625" style="5" customWidth="1"/>
    <col min="13" max="13" width="14.44140625" style="5" customWidth="1"/>
    <col min="14" max="14" width="14.33203125" style="5" customWidth="1"/>
    <col min="15" max="15" width="12.33203125" style="5" bestFit="1" customWidth="1"/>
    <col min="16" max="16" width="12.33203125" style="5" customWidth="1"/>
    <col min="17" max="17" width="12.88671875" style="5" customWidth="1"/>
    <col min="18" max="16384" width="9.109375" style="5"/>
  </cols>
  <sheetData>
    <row r="1" spans="1:17" ht="21" x14ac:dyDescent="0.4">
      <c r="B1" s="71" t="s">
        <v>362</v>
      </c>
    </row>
    <row r="3" spans="1:17" ht="16.2" x14ac:dyDescent="0.35">
      <c r="B3" s="143" t="str">
        <f>"Selected case:"&amp;CHOOSE(C3,"as a % of PPE", "as a % of revenue")</f>
        <v>Selected case:as a % of PPE</v>
      </c>
      <c r="C3" s="32">
        <v>1</v>
      </c>
    </row>
    <row r="4" spans="1:17" ht="16.2" x14ac:dyDescent="0.35">
      <c r="B4" s="143"/>
      <c r="C4" s="144"/>
    </row>
    <row r="5" spans="1:17" ht="16.2" x14ac:dyDescent="0.3">
      <c r="B5" s="265" t="s">
        <v>219</v>
      </c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</row>
    <row r="6" spans="1:17" ht="48.6" x14ac:dyDescent="0.35">
      <c r="A6" s="5" t="s">
        <v>174</v>
      </c>
      <c r="B6" s="18" t="s">
        <v>200</v>
      </c>
      <c r="C6" s="19" t="s">
        <v>220</v>
      </c>
      <c r="D6" s="19" t="s">
        <v>221</v>
      </c>
      <c r="E6" s="19" t="s">
        <v>222</v>
      </c>
      <c r="F6" s="19" t="s">
        <v>223</v>
      </c>
      <c r="G6" s="19" t="s">
        <v>224</v>
      </c>
      <c r="H6" s="57" t="s">
        <v>225</v>
      </c>
      <c r="I6" s="57" t="s">
        <v>226</v>
      </c>
      <c r="J6" s="57" t="s">
        <v>227</v>
      </c>
      <c r="K6" s="57" t="s">
        <v>228</v>
      </c>
      <c r="L6" s="57" t="s">
        <v>229</v>
      </c>
      <c r="M6" s="57" t="s">
        <v>230</v>
      </c>
      <c r="N6" s="57" t="s">
        <v>231</v>
      </c>
      <c r="O6" s="57" t="s">
        <v>232</v>
      </c>
      <c r="P6" s="57" t="s">
        <v>233</v>
      </c>
      <c r="Q6" s="57" t="s">
        <v>234</v>
      </c>
    </row>
    <row r="7" spans="1:17" x14ac:dyDescent="0.3">
      <c r="B7" s="5" t="s">
        <v>235</v>
      </c>
      <c r="C7" s="145">
        <f>738494/1000</f>
        <v>738.49400000000003</v>
      </c>
      <c r="D7" s="146">
        <f>C10</f>
        <v>3403.3339999999998</v>
      </c>
      <c r="E7" s="146">
        <f>D10</f>
        <v>5982.9570000000003</v>
      </c>
      <c r="F7" s="146">
        <f>E10</f>
        <v>10027.522000000001</v>
      </c>
      <c r="G7" s="146">
        <f>F10</f>
        <v>11330.076999999999</v>
      </c>
      <c r="H7" s="152">
        <f t="shared" ref="H7:Q7" si="0">G10</f>
        <v>10396</v>
      </c>
      <c r="I7" s="152">
        <f t="shared" si="0"/>
        <v>11153.095202632239</v>
      </c>
      <c r="J7" s="152">
        <f t="shared" si="0"/>
        <v>11841.403056925185</v>
      </c>
      <c r="K7" s="152">
        <f t="shared" si="0"/>
        <v>12434.496962825693</v>
      </c>
      <c r="L7" s="152">
        <f t="shared" si="0"/>
        <v>12902.704039541522</v>
      </c>
      <c r="M7" s="152">
        <f t="shared" si="0"/>
        <v>13213.051551006934</v>
      </c>
      <c r="N7" s="152">
        <f t="shared" si="0"/>
        <v>13329.266410129147</v>
      </c>
      <c r="O7" s="152">
        <f t="shared" si="0"/>
        <v>13211.837963972712</v>
      </c>
      <c r="P7" s="152">
        <f t="shared" si="0"/>
        <v>12818.155005969385</v>
      </c>
      <c r="Q7" s="152">
        <f t="shared" si="0"/>
        <v>12102.728637831306</v>
      </c>
    </row>
    <row r="8" spans="1:17" x14ac:dyDescent="0.3">
      <c r="B8" s="5" t="s">
        <v>236</v>
      </c>
      <c r="C8" s="147">
        <f>C10-C7-C9</f>
        <v>3087.8399999999997</v>
      </c>
      <c r="D8" s="147">
        <f>D10-D7-D9</f>
        <v>3526.6230000000005</v>
      </c>
      <c r="E8" s="147">
        <f>E10-E7-E9</f>
        <v>5680.5650000000005</v>
      </c>
      <c r="F8" s="147">
        <f>F10-F7-F9</f>
        <v>3203.5549999999985</v>
      </c>
      <c r="G8" s="147">
        <f>G10-G7-G9</f>
        <v>1219.9230000000007</v>
      </c>
      <c r="H8" s="148">
        <f>CHOOSE($C$3,H32*H7,H33*'Tesla Opex'!H5)</f>
        <v>1996.328002924711</v>
      </c>
      <c r="I8" s="148">
        <f>CHOOSE($C$3,I32*I7,I33*'Tesla Opex'!I5)</f>
        <v>2141.7118384282408</v>
      </c>
      <c r="J8" s="148">
        <f>CHOOSE($C$3,J32*J7,J33*'Tesla Opex'!J5)</f>
        <v>2273.8865444842268</v>
      </c>
      <c r="K8" s="148">
        <f>CHOOSE($C$3,K32*K7,K33*'Tesla Opex'!K5)</f>
        <v>2387.77746144394</v>
      </c>
      <c r="L8" s="148">
        <f>CHOOSE($C$3,L32*L7,L33*'Tesla Opex'!L5)</f>
        <v>2477.6865513261378</v>
      </c>
      <c r="M8" s="148">
        <f>CHOOSE($C$3,M32*M7,M33*'Tesla Opex'!M5)</f>
        <v>2537.2821099810435</v>
      </c>
      <c r="N8" s="148">
        <f>CHOOSE($C$3,N32*N7,N33*'Tesla Opex'!N5)</f>
        <v>2559.5986718915497</v>
      </c>
      <c r="O8" s="148">
        <f>CHOOSE($C$3,O32*O7,O33*'Tesla Opex'!O5)</f>
        <v>2537.0490667162871</v>
      </c>
      <c r="P8" s="148">
        <f>CHOOSE($C$3,P32*P7,P33*'Tesla Opex'!P5)</f>
        <v>2461.4507295350372</v>
      </c>
      <c r="Q8" s="148">
        <f>CHOOSE($C$3,Q32*Q7,Q33*'Tesla Opex'!Q5)</f>
        <v>3534.3413604646889</v>
      </c>
    </row>
    <row r="9" spans="1:17" x14ac:dyDescent="0.3">
      <c r="B9" s="5" t="s">
        <v>237</v>
      </c>
      <c r="C9" s="149">
        <v>-423</v>
      </c>
      <c r="D9" s="149">
        <v>-947</v>
      </c>
      <c r="E9" s="149">
        <v>-1636</v>
      </c>
      <c r="F9" s="149">
        <v>-1901</v>
      </c>
      <c r="G9" s="149">
        <v>-2154</v>
      </c>
      <c r="H9" s="58">
        <f>H28</f>
        <v>-1239.232800292471</v>
      </c>
      <c r="I9" s="58">
        <f t="shared" ref="I9:Q9" si="1">I28</f>
        <v>-1453.4039841352951</v>
      </c>
      <c r="J9" s="58">
        <f t="shared" si="1"/>
        <v>-1680.7926385837177</v>
      </c>
      <c r="K9" s="58">
        <f t="shared" si="1"/>
        <v>-1919.5703847281118</v>
      </c>
      <c r="L9" s="58">
        <f t="shared" si="1"/>
        <v>-2167.3390398607257</v>
      </c>
      <c r="M9" s="58">
        <f t="shared" si="1"/>
        <v>-2421.06725085883</v>
      </c>
      <c r="N9" s="58">
        <f t="shared" si="1"/>
        <v>-2677.0271180479849</v>
      </c>
      <c r="O9" s="58">
        <f t="shared" si="1"/>
        <v>-2930.7320247196135</v>
      </c>
      <c r="P9" s="58">
        <f t="shared" si="1"/>
        <v>-3176.8770976731171</v>
      </c>
      <c r="Q9" s="58">
        <f t="shared" si="1"/>
        <v>-3530.3112337195862</v>
      </c>
    </row>
    <row r="10" spans="1:17" ht="16.8" thickBot="1" x14ac:dyDescent="0.4">
      <c r="B10" s="60" t="s">
        <v>238</v>
      </c>
      <c r="C10" s="61">
        <f>'Balance Sheet Input'!C12/1000</f>
        <v>3403.3339999999998</v>
      </c>
      <c r="D10" s="61">
        <f>'Balance Sheet Input'!D12/1000</f>
        <v>5982.9570000000003</v>
      </c>
      <c r="E10" s="61">
        <f>'Balance Sheet Input'!E12/1000</f>
        <v>10027.522000000001</v>
      </c>
      <c r="F10" s="61">
        <f>'Balance Sheet Input'!F12/1000</f>
        <v>11330.076999999999</v>
      </c>
      <c r="G10" s="61">
        <f>'Balance Sheet Input'!G12/1000</f>
        <v>10396</v>
      </c>
      <c r="H10" s="132">
        <f t="shared" ref="H10:Q10" si="2">SUM(H7:H9)</f>
        <v>11153.095202632239</v>
      </c>
      <c r="I10" s="132">
        <f t="shared" si="2"/>
        <v>11841.403056925185</v>
      </c>
      <c r="J10" s="132">
        <f t="shared" si="2"/>
        <v>12434.496962825693</v>
      </c>
      <c r="K10" s="132">
        <f t="shared" si="2"/>
        <v>12902.704039541522</v>
      </c>
      <c r="L10" s="132">
        <f t="shared" si="2"/>
        <v>13213.051551006934</v>
      </c>
      <c r="M10" s="132">
        <f t="shared" si="2"/>
        <v>13329.266410129147</v>
      </c>
      <c r="N10" s="132">
        <f t="shared" si="2"/>
        <v>13211.837963972712</v>
      </c>
      <c r="O10" s="132">
        <f t="shared" si="2"/>
        <v>12818.155005969385</v>
      </c>
      <c r="P10" s="132">
        <f t="shared" si="2"/>
        <v>12102.728637831306</v>
      </c>
      <c r="Q10" s="132">
        <f t="shared" si="2"/>
        <v>12106.758764576407</v>
      </c>
    </row>
    <row r="12" spans="1:17" x14ac:dyDescent="0.3">
      <c r="B12" s="5" t="s">
        <v>239</v>
      </c>
      <c r="C12" s="150">
        <v>10</v>
      </c>
    </row>
    <row r="13" spans="1:17" x14ac:dyDescent="0.3">
      <c r="B13" s="5" t="s">
        <v>240</v>
      </c>
      <c r="C13" s="150">
        <v>10</v>
      </c>
      <c r="H13" s="151"/>
      <c r="I13" s="151"/>
      <c r="J13" s="151"/>
      <c r="K13" s="151"/>
      <c r="L13" s="151"/>
      <c r="M13" s="151"/>
      <c r="N13" s="151"/>
      <c r="O13" s="151"/>
      <c r="P13" s="151"/>
      <c r="Q13" s="151"/>
    </row>
    <row r="15" spans="1:17" ht="16.2" x14ac:dyDescent="0.3">
      <c r="B15" s="265" t="s">
        <v>241</v>
      </c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</row>
    <row r="16" spans="1:17" ht="48.6" x14ac:dyDescent="0.3">
      <c r="B16" s="114" t="s">
        <v>200</v>
      </c>
      <c r="C16" s="19" t="s">
        <v>220</v>
      </c>
      <c r="D16" s="19" t="s">
        <v>221</v>
      </c>
      <c r="E16" s="19" t="s">
        <v>222</v>
      </c>
      <c r="F16" s="19" t="s">
        <v>223</v>
      </c>
      <c r="G16" s="19" t="s">
        <v>224</v>
      </c>
      <c r="H16" s="57" t="s">
        <v>225</v>
      </c>
      <c r="I16" s="57" t="s">
        <v>226</v>
      </c>
      <c r="J16" s="57" t="s">
        <v>227</v>
      </c>
      <c r="K16" s="57" t="s">
        <v>228</v>
      </c>
      <c r="L16" s="57" t="s">
        <v>229</v>
      </c>
      <c r="M16" s="57" t="s">
        <v>230</v>
      </c>
      <c r="N16" s="57" t="s">
        <v>231</v>
      </c>
      <c r="O16" s="57" t="s">
        <v>232</v>
      </c>
      <c r="P16" s="57" t="s">
        <v>233</v>
      </c>
      <c r="Q16" s="57" t="s">
        <v>234</v>
      </c>
    </row>
    <row r="17" spans="2:17" x14ac:dyDescent="0.3">
      <c r="H17" s="149">
        <f>-$H$7/$C$13</f>
        <v>-1039.5999999999999</v>
      </c>
      <c r="I17" s="149">
        <f t="shared" ref="I17:Q17" si="3">-$H$7/$C$13</f>
        <v>-1039.5999999999999</v>
      </c>
      <c r="J17" s="149">
        <f t="shared" si="3"/>
        <v>-1039.5999999999999</v>
      </c>
      <c r="K17" s="149">
        <f t="shared" si="3"/>
        <v>-1039.5999999999999</v>
      </c>
      <c r="L17" s="149">
        <f t="shared" si="3"/>
        <v>-1039.5999999999999</v>
      </c>
      <c r="M17" s="149">
        <f t="shared" si="3"/>
        <v>-1039.5999999999999</v>
      </c>
      <c r="N17" s="149">
        <f t="shared" si="3"/>
        <v>-1039.5999999999999</v>
      </c>
      <c r="O17" s="149">
        <f t="shared" si="3"/>
        <v>-1039.5999999999999</v>
      </c>
      <c r="P17" s="149">
        <f t="shared" si="3"/>
        <v>-1039.5999999999999</v>
      </c>
      <c r="Q17" s="149">
        <f t="shared" si="3"/>
        <v>-1039.5999999999999</v>
      </c>
    </row>
    <row r="18" spans="2:17" x14ac:dyDescent="0.3">
      <c r="H18" s="149">
        <f>-$H$8/$C$13</f>
        <v>-199.6328002924711</v>
      </c>
      <c r="I18" s="149">
        <f t="shared" ref="I18:Q18" si="4">-$H$8/$C$13</f>
        <v>-199.6328002924711</v>
      </c>
      <c r="J18" s="149">
        <f t="shared" si="4"/>
        <v>-199.6328002924711</v>
      </c>
      <c r="K18" s="149">
        <f t="shared" si="4"/>
        <v>-199.6328002924711</v>
      </c>
      <c r="L18" s="149">
        <f t="shared" si="4"/>
        <v>-199.6328002924711</v>
      </c>
      <c r="M18" s="149">
        <f t="shared" si="4"/>
        <v>-199.6328002924711</v>
      </c>
      <c r="N18" s="149">
        <f t="shared" si="4"/>
        <v>-199.6328002924711</v>
      </c>
      <c r="O18" s="149">
        <f t="shared" si="4"/>
        <v>-199.6328002924711</v>
      </c>
      <c r="P18" s="149">
        <f t="shared" si="4"/>
        <v>-199.6328002924711</v>
      </c>
      <c r="Q18" s="149">
        <f t="shared" si="4"/>
        <v>-199.6328002924711</v>
      </c>
    </row>
    <row r="19" spans="2:17" x14ac:dyDescent="0.3">
      <c r="H19" s="149"/>
      <c r="I19" s="149">
        <f>-$I$8/$C$12</f>
        <v>-214.17118384282406</v>
      </c>
      <c r="J19" s="149">
        <f t="shared" ref="J19:Q19" si="5">-$I$8/$C$12</f>
        <v>-214.17118384282406</v>
      </c>
      <c r="K19" s="149">
        <f t="shared" si="5"/>
        <v>-214.17118384282406</v>
      </c>
      <c r="L19" s="149">
        <f t="shared" si="5"/>
        <v>-214.17118384282406</v>
      </c>
      <c r="M19" s="149">
        <f t="shared" si="5"/>
        <v>-214.17118384282406</v>
      </c>
      <c r="N19" s="149">
        <f t="shared" si="5"/>
        <v>-214.17118384282406</v>
      </c>
      <c r="O19" s="149">
        <f t="shared" si="5"/>
        <v>-214.17118384282406</v>
      </c>
      <c r="P19" s="149">
        <f t="shared" si="5"/>
        <v>-214.17118384282406</v>
      </c>
      <c r="Q19" s="149">
        <f t="shared" si="5"/>
        <v>-214.17118384282406</v>
      </c>
    </row>
    <row r="20" spans="2:17" x14ac:dyDescent="0.3">
      <c r="H20" s="149"/>
      <c r="I20" s="149"/>
      <c r="J20" s="149">
        <f>-$J$8/$C$13</f>
        <v>-227.38865444842267</v>
      </c>
      <c r="K20" s="149">
        <f t="shared" ref="K20:Q20" si="6">-$J$8/$C$13</f>
        <v>-227.38865444842267</v>
      </c>
      <c r="L20" s="149">
        <f t="shared" si="6"/>
        <v>-227.38865444842267</v>
      </c>
      <c r="M20" s="149">
        <f t="shared" si="6"/>
        <v>-227.38865444842267</v>
      </c>
      <c r="N20" s="149">
        <f t="shared" si="6"/>
        <v>-227.38865444842267</v>
      </c>
      <c r="O20" s="149">
        <f t="shared" si="6"/>
        <v>-227.38865444842267</v>
      </c>
      <c r="P20" s="149">
        <f t="shared" si="6"/>
        <v>-227.38865444842267</v>
      </c>
      <c r="Q20" s="149">
        <f t="shared" si="6"/>
        <v>-227.38865444842267</v>
      </c>
    </row>
    <row r="21" spans="2:17" x14ac:dyDescent="0.3">
      <c r="H21" s="149"/>
      <c r="I21" s="149"/>
      <c r="J21" s="149"/>
      <c r="K21" s="149">
        <f>-$K$8/$C$12</f>
        <v>-238.777746144394</v>
      </c>
      <c r="L21" s="149">
        <f t="shared" ref="L21:Q21" si="7">-$K$8/$C$12</f>
        <v>-238.777746144394</v>
      </c>
      <c r="M21" s="149">
        <f t="shared" si="7"/>
        <v>-238.777746144394</v>
      </c>
      <c r="N21" s="149">
        <f t="shared" si="7"/>
        <v>-238.777746144394</v>
      </c>
      <c r="O21" s="149">
        <f t="shared" si="7"/>
        <v>-238.777746144394</v>
      </c>
      <c r="P21" s="149">
        <f t="shared" si="7"/>
        <v>-238.777746144394</v>
      </c>
      <c r="Q21" s="149">
        <f t="shared" si="7"/>
        <v>-238.777746144394</v>
      </c>
    </row>
    <row r="22" spans="2:17" x14ac:dyDescent="0.3">
      <c r="H22" s="149"/>
      <c r="I22" s="149"/>
      <c r="J22" s="149"/>
      <c r="K22" s="149"/>
      <c r="L22" s="149">
        <f>-$L$8/$C$12</f>
        <v>-247.76865513261379</v>
      </c>
      <c r="M22" s="149">
        <f t="shared" ref="M22:Q22" si="8">-$L$8/$C$12</f>
        <v>-247.76865513261379</v>
      </c>
      <c r="N22" s="149">
        <f t="shared" si="8"/>
        <v>-247.76865513261379</v>
      </c>
      <c r="O22" s="149">
        <f t="shared" si="8"/>
        <v>-247.76865513261379</v>
      </c>
      <c r="P22" s="149">
        <f t="shared" si="8"/>
        <v>-247.76865513261379</v>
      </c>
      <c r="Q22" s="149">
        <f t="shared" si="8"/>
        <v>-247.76865513261379</v>
      </c>
    </row>
    <row r="23" spans="2:17" x14ac:dyDescent="0.3">
      <c r="H23" s="149"/>
      <c r="I23" s="149"/>
      <c r="J23" s="149"/>
      <c r="K23" s="149"/>
      <c r="L23" s="149"/>
      <c r="M23" s="149">
        <f>-$M$8/$C$12</f>
        <v>-253.72821099810434</v>
      </c>
      <c r="N23" s="149">
        <f t="shared" ref="N23:Q23" si="9">-$M$8/$C$12</f>
        <v>-253.72821099810434</v>
      </c>
      <c r="O23" s="149">
        <f t="shared" si="9"/>
        <v>-253.72821099810434</v>
      </c>
      <c r="P23" s="149">
        <f t="shared" si="9"/>
        <v>-253.72821099810434</v>
      </c>
      <c r="Q23" s="149">
        <f t="shared" si="9"/>
        <v>-253.72821099810434</v>
      </c>
    </row>
    <row r="24" spans="2:17" x14ac:dyDescent="0.3">
      <c r="H24" s="149"/>
      <c r="I24" s="149"/>
      <c r="J24" s="149"/>
      <c r="K24" s="149"/>
      <c r="L24" s="149"/>
      <c r="M24" s="149"/>
      <c r="N24" s="149">
        <f>-$N$8/$C$12</f>
        <v>-255.95986718915498</v>
      </c>
      <c r="O24" s="149">
        <f t="shared" ref="O24:Q24" si="10">-$N$8/$C$12</f>
        <v>-255.95986718915498</v>
      </c>
      <c r="P24" s="149">
        <f t="shared" si="10"/>
        <v>-255.95986718915498</v>
      </c>
      <c r="Q24" s="149">
        <f t="shared" si="10"/>
        <v>-255.95986718915498</v>
      </c>
    </row>
    <row r="25" spans="2:17" x14ac:dyDescent="0.3">
      <c r="H25" s="149"/>
      <c r="I25" s="149"/>
      <c r="J25" s="149"/>
      <c r="K25" s="149"/>
      <c r="L25" s="149"/>
      <c r="M25" s="149"/>
      <c r="N25" s="149"/>
      <c r="O25" s="149">
        <f>-$O$8/$C$12</f>
        <v>-253.70490667162872</v>
      </c>
      <c r="P25" s="149">
        <f t="shared" ref="P25:Q25" si="11">-$O$8/$C$12</f>
        <v>-253.70490667162872</v>
      </c>
      <c r="Q25" s="149">
        <f t="shared" si="11"/>
        <v>-253.70490667162872</v>
      </c>
    </row>
    <row r="26" spans="2:17" x14ac:dyDescent="0.3">
      <c r="H26" s="149"/>
      <c r="I26" s="149"/>
      <c r="J26" s="149"/>
      <c r="K26" s="149"/>
      <c r="L26" s="149"/>
      <c r="M26" s="149"/>
      <c r="N26" s="149"/>
      <c r="O26" s="149"/>
      <c r="P26" s="149">
        <f>-$P$8/$C$12</f>
        <v>-246.14507295350373</v>
      </c>
      <c r="Q26" s="149">
        <f>-$P$8/$C$12</f>
        <v>-246.14507295350373</v>
      </c>
    </row>
    <row r="27" spans="2:17" x14ac:dyDescent="0.3">
      <c r="H27" s="149"/>
      <c r="I27" s="149"/>
      <c r="J27" s="149"/>
      <c r="K27" s="149"/>
      <c r="L27" s="149"/>
      <c r="M27" s="149"/>
      <c r="N27" s="149"/>
      <c r="O27" s="149"/>
      <c r="P27" s="149"/>
      <c r="Q27" s="149">
        <f>-$Q$8/$C$12</f>
        <v>-353.43413604646889</v>
      </c>
    </row>
    <row r="28" spans="2:17" ht="16.8" thickBot="1" x14ac:dyDescent="0.4">
      <c r="B28" s="60" t="s">
        <v>242</v>
      </c>
      <c r="C28" s="61">
        <f t="shared" ref="C28:P28" si="12">SUM(C17:C27)</f>
        <v>0</v>
      </c>
      <c r="D28" s="61">
        <f t="shared" si="12"/>
        <v>0</v>
      </c>
      <c r="E28" s="61">
        <f t="shared" si="12"/>
        <v>0</v>
      </c>
      <c r="F28" s="61">
        <f t="shared" si="12"/>
        <v>0</v>
      </c>
      <c r="G28" s="61">
        <f t="shared" si="12"/>
        <v>0</v>
      </c>
      <c r="H28" s="132">
        <f t="shared" si="12"/>
        <v>-1239.232800292471</v>
      </c>
      <c r="I28" s="132">
        <f t="shared" si="12"/>
        <v>-1453.4039841352951</v>
      </c>
      <c r="J28" s="132">
        <f t="shared" si="12"/>
        <v>-1680.7926385837177</v>
      </c>
      <c r="K28" s="132">
        <f t="shared" si="12"/>
        <v>-1919.5703847281118</v>
      </c>
      <c r="L28" s="132">
        <f t="shared" si="12"/>
        <v>-2167.3390398607257</v>
      </c>
      <c r="M28" s="132">
        <f t="shared" si="12"/>
        <v>-2421.06725085883</v>
      </c>
      <c r="N28" s="132">
        <f t="shared" si="12"/>
        <v>-2677.0271180479849</v>
      </c>
      <c r="O28" s="132">
        <f t="shared" si="12"/>
        <v>-2930.7320247196135</v>
      </c>
      <c r="P28" s="132">
        <f t="shared" si="12"/>
        <v>-3176.8770976731171</v>
      </c>
      <c r="Q28" s="132">
        <f>SUM(Q17:Q27)</f>
        <v>-3530.3112337195862</v>
      </c>
    </row>
    <row r="31" spans="2:17" s="6" customFormat="1" ht="16.2" x14ac:dyDescent="0.3">
      <c r="B31" s="7" t="s">
        <v>2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</row>
    <row r="32" spans="2:17" s="6" customFormat="1" x14ac:dyDescent="0.3">
      <c r="B32" s="63" t="s">
        <v>243</v>
      </c>
      <c r="C32" s="123"/>
      <c r="D32" s="123"/>
      <c r="E32" s="123"/>
      <c r="F32" s="123"/>
      <c r="G32" s="63"/>
      <c r="H32" s="124">
        <f>CHOOSE(Drivers!$C$3,H36,H39,H42)</f>
        <v>0.19202847277074941</v>
      </c>
      <c r="I32" s="124">
        <f>CHOOSE(Drivers!$C$3,I36,I39,I42)</f>
        <v>0.19202847277074941</v>
      </c>
      <c r="J32" s="124">
        <f>CHOOSE(Drivers!$C$3,J36,J39,J42)</f>
        <v>0.19202847277074941</v>
      </c>
      <c r="K32" s="124">
        <f>CHOOSE(Drivers!$C$3,K36,K39,K42)</f>
        <v>0.19202847277074941</v>
      </c>
      <c r="L32" s="124">
        <f>CHOOSE(Drivers!$C$3,L36,L39,L42)</f>
        <v>0.19202847277074941</v>
      </c>
      <c r="M32" s="124">
        <f>CHOOSE(Drivers!$C$3,M36,M39,M42)</f>
        <v>0.19202847277074941</v>
      </c>
      <c r="N32" s="124">
        <f>CHOOSE(Drivers!$C$3,N36,N39,N42)</f>
        <v>0.19202847277074941</v>
      </c>
      <c r="O32" s="124">
        <f>CHOOSE(Drivers!$C$3,O36,O39,O42)</f>
        <v>0.19202847277074941</v>
      </c>
      <c r="P32" s="124">
        <f>CHOOSE(Drivers!$C$3,P36,P39,P42)</f>
        <v>0.19202847277074941</v>
      </c>
      <c r="Q32" s="124">
        <f>CHOOSE(Drivers!$C$3,Q36,Q39,Q42)</f>
        <v>0.29202847277074945</v>
      </c>
    </row>
    <row r="33" spans="2:17" s="6" customFormat="1" x14ac:dyDescent="0.3">
      <c r="B33" s="63" t="s">
        <v>244</v>
      </c>
      <c r="C33" s="64"/>
      <c r="D33" s="64"/>
      <c r="E33" s="64"/>
      <c r="F33" s="64"/>
      <c r="G33" s="63"/>
      <c r="H33" s="124">
        <f>CHOOSE(Drivers!$C$3,H37,H40,H43)</f>
        <v>3.4053330662578415E-2</v>
      </c>
      <c r="I33" s="124">
        <f>CHOOSE(Drivers!$C$3,I37,I40,I43)</f>
        <v>3.4053330662578415E-2</v>
      </c>
      <c r="J33" s="124">
        <f>CHOOSE(Drivers!$C$3,J37,J40,J43)</f>
        <v>3.4053330662578415E-2</v>
      </c>
      <c r="K33" s="124">
        <f>CHOOSE(Drivers!$C$3,K37,K40,K43)</f>
        <v>3.4053330662578415E-2</v>
      </c>
      <c r="L33" s="124">
        <f>CHOOSE(Drivers!$C$3,L37,L40,L43)</f>
        <v>3.4053330662578415E-2</v>
      </c>
      <c r="M33" s="124">
        <f>CHOOSE(Drivers!$C$3,M37,M40,M43)</f>
        <v>3.4053330662578415E-2</v>
      </c>
      <c r="N33" s="124">
        <f>CHOOSE(Drivers!$C$3,N37,N40,N43)</f>
        <v>3.4053330662578415E-2</v>
      </c>
      <c r="O33" s="124">
        <f>CHOOSE(Drivers!$C$3,O37,O40,O43)</f>
        <v>3.4053330662578415E-2</v>
      </c>
      <c r="P33" s="124">
        <f>CHOOSE(Drivers!$C$3,P37,P40,P43)</f>
        <v>3.4053330662578415E-2</v>
      </c>
      <c r="Q33" s="124">
        <f>CHOOSE(Drivers!$C$3,Q37,Q40,Q43)</f>
        <v>9.4053330662578413E-2</v>
      </c>
    </row>
    <row r="34" spans="2:17" s="6" customFormat="1" ht="16.2" x14ac:dyDescent="0.3">
      <c r="B34" s="7" t="s">
        <v>245</v>
      </c>
      <c r="C34" s="64"/>
      <c r="D34" s="64"/>
      <c r="E34" s="64"/>
      <c r="F34" s="64"/>
      <c r="G34" s="63"/>
      <c r="H34" s="64"/>
      <c r="I34" s="68"/>
      <c r="J34" s="68"/>
      <c r="K34" s="68"/>
      <c r="L34" s="68"/>
      <c r="M34" s="68"/>
      <c r="N34" s="68"/>
      <c r="O34" s="68"/>
      <c r="P34" s="68"/>
      <c r="Q34" s="68"/>
    </row>
    <row r="35" spans="2:17" s="6" customFormat="1" ht="16.2" x14ac:dyDescent="0.3">
      <c r="B35" s="7" t="s">
        <v>177</v>
      </c>
      <c r="C35" s="63"/>
      <c r="D35" s="63"/>
      <c r="E35" s="63"/>
      <c r="F35" s="63"/>
      <c r="G35" s="63"/>
      <c r="H35" s="68"/>
      <c r="I35" s="68"/>
      <c r="J35" s="68"/>
      <c r="K35" s="68"/>
      <c r="L35" s="68"/>
      <c r="M35" s="68"/>
      <c r="N35" s="68"/>
      <c r="O35" s="68"/>
      <c r="P35" s="68"/>
      <c r="Q35" s="68"/>
    </row>
    <row r="36" spans="2:17" s="6" customFormat="1" x14ac:dyDescent="0.3">
      <c r="B36" s="63" t="s">
        <v>243</v>
      </c>
      <c r="C36" s="64"/>
      <c r="D36" s="64"/>
      <c r="E36" s="64"/>
      <c r="F36" s="64"/>
      <c r="G36" s="63"/>
      <c r="H36" s="124">
        <f>H39-5%</f>
        <v>0.19202847277074941</v>
      </c>
      <c r="I36" s="124">
        <f t="shared" ref="I36:P36" si="13">I39-5%</f>
        <v>0.19202847277074941</v>
      </c>
      <c r="J36" s="124">
        <f t="shared" si="13"/>
        <v>0.19202847277074941</v>
      </c>
      <c r="K36" s="124">
        <f t="shared" si="13"/>
        <v>0.19202847277074941</v>
      </c>
      <c r="L36" s="124">
        <f t="shared" si="13"/>
        <v>0.19202847277074941</v>
      </c>
      <c r="M36" s="124">
        <f t="shared" si="13"/>
        <v>0.19202847277074941</v>
      </c>
      <c r="N36" s="124">
        <f t="shared" si="13"/>
        <v>0.19202847277074941</v>
      </c>
      <c r="O36" s="124">
        <f t="shared" si="13"/>
        <v>0.19202847277074941</v>
      </c>
      <c r="P36" s="124">
        <f t="shared" si="13"/>
        <v>0.19202847277074941</v>
      </c>
      <c r="Q36" s="124">
        <f t="shared" ref="Q36" si="14">Q39+5%</f>
        <v>0.29202847277074945</v>
      </c>
    </row>
    <row r="37" spans="2:17" s="6" customFormat="1" x14ac:dyDescent="0.3">
      <c r="B37" s="63" t="str">
        <f>B33</f>
        <v>Capex as a % of revenue</v>
      </c>
      <c r="C37" s="64"/>
      <c r="D37" s="123"/>
      <c r="E37" s="123"/>
      <c r="F37" s="123"/>
      <c r="G37" s="63"/>
      <c r="H37" s="124">
        <f>H40-3%</f>
        <v>3.4053330662578415E-2</v>
      </c>
      <c r="I37" s="124">
        <f t="shared" ref="I37:P37" si="15">I40-3%</f>
        <v>3.4053330662578415E-2</v>
      </c>
      <c r="J37" s="124">
        <f t="shared" si="15"/>
        <v>3.4053330662578415E-2</v>
      </c>
      <c r="K37" s="124">
        <f t="shared" si="15"/>
        <v>3.4053330662578415E-2</v>
      </c>
      <c r="L37" s="124">
        <f t="shared" si="15"/>
        <v>3.4053330662578415E-2</v>
      </c>
      <c r="M37" s="124">
        <f t="shared" si="15"/>
        <v>3.4053330662578415E-2</v>
      </c>
      <c r="N37" s="124">
        <f t="shared" si="15"/>
        <v>3.4053330662578415E-2</v>
      </c>
      <c r="O37" s="124">
        <f t="shared" si="15"/>
        <v>3.4053330662578415E-2</v>
      </c>
      <c r="P37" s="124">
        <f t="shared" si="15"/>
        <v>3.4053330662578415E-2</v>
      </c>
      <c r="Q37" s="124">
        <f t="shared" ref="Q37" si="16">Q40+3%</f>
        <v>9.4053330662578413E-2</v>
      </c>
    </row>
    <row r="38" spans="2:17" s="6" customFormat="1" ht="16.2" x14ac:dyDescent="0.3">
      <c r="B38" s="7" t="s">
        <v>178</v>
      </c>
      <c r="C38" s="63"/>
      <c r="D38" s="63"/>
      <c r="E38" s="63"/>
      <c r="F38" s="63"/>
      <c r="G38" s="63"/>
      <c r="H38" s="68"/>
      <c r="I38" s="68"/>
      <c r="J38" s="68"/>
      <c r="K38" s="68"/>
      <c r="L38" s="68"/>
      <c r="M38" s="68"/>
      <c r="N38" s="68"/>
      <c r="O38" s="68"/>
      <c r="P38" s="68"/>
      <c r="Q38" s="68"/>
    </row>
    <row r="39" spans="2:17" s="6" customFormat="1" x14ac:dyDescent="0.3">
      <c r="B39" s="63" t="s">
        <v>243</v>
      </c>
      <c r="C39" s="64"/>
      <c r="D39" s="64"/>
      <c r="E39" s="64"/>
      <c r="F39" s="64"/>
      <c r="G39" s="63"/>
      <c r="H39" s="66">
        <f>-'Tesla PP&amp;E Comparables'!D16</f>
        <v>0.24202847277074943</v>
      </c>
      <c r="I39" s="124">
        <f>H39</f>
        <v>0.24202847277074943</v>
      </c>
      <c r="J39" s="124">
        <f t="shared" ref="J39:Q39" si="17">I39</f>
        <v>0.24202847277074943</v>
      </c>
      <c r="K39" s="124">
        <f t="shared" si="17"/>
        <v>0.24202847277074943</v>
      </c>
      <c r="L39" s="124">
        <f t="shared" si="17"/>
        <v>0.24202847277074943</v>
      </c>
      <c r="M39" s="124">
        <f t="shared" si="17"/>
        <v>0.24202847277074943</v>
      </c>
      <c r="N39" s="124">
        <f t="shared" si="17"/>
        <v>0.24202847277074943</v>
      </c>
      <c r="O39" s="124">
        <f t="shared" si="17"/>
        <v>0.24202847277074943</v>
      </c>
      <c r="P39" s="124">
        <f t="shared" si="17"/>
        <v>0.24202847277074943</v>
      </c>
      <c r="Q39" s="124">
        <f t="shared" si="17"/>
        <v>0.24202847277074943</v>
      </c>
    </row>
    <row r="40" spans="2:17" s="6" customFormat="1" x14ac:dyDescent="0.3">
      <c r="B40" s="63" t="str">
        <f>B33</f>
        <v>Capex as a % of revenue</v>
      </c>
      <c r="C40" s="64"/>
      <c r="D40" s="123"/>
      <c r="E40" s="123"/>
      <c r="F40" s="123"/>
      <c r="G40" s="63"/>
      <c r="H40" s="124">
        <f>-'Tesla PP&amp;E Comparables'!G16</f>
        <v>6.4053330662578414E-2</v>
      </c>
      <c r="I40" s="124">
        <f>H40</f>
        <v>6.4053330662578414E-2</v>
      </c>
      <c r="J40" s="124">
        <f t="shared" ref="J40:K40" si="18">I40</f>
        <v>6.4053330662578414E-2</v>
      </c>
      <c r="K40" s="124">
        <f t="shared" si="18"/>
        <v>6.4053330662578414E-2</v>
      </c>
      <c r="L40" s="124">
        <f t="shared" ref="L40" si="19">K40</f>
        <v>6.4053330662578414E-2</v>
      </c>
      <c r="M40" s="124">
        <f t="shared" ref="M40:Q40" si="20">L40</f>
        <v>6.4053330662578414E-2</v>
      </c>
      <c r="N40" s="124">
        <f t="shared" si="20"/>
        <v>6.4053330662578414E-2</v>
      </c>
      <c r="O40" s="124">
        <f t="shared" si="20"/>
        <v>6.4053330662578414E-2</v>
      </c>
      <c r="P40" s="124">
        <f t="shared" si="20"/>
        <v>6.4053330662578414E-2</v>
      </c>
      <c r="Q40" s="124">
        <f t="shared" si="20"/>
        <v>6.4053330662578414E-2</v>
      </c>
    </row>
    <row r="41" spans="2:17" s="6" customFormat="1" ht="16.2" x14ac:dyDescent="0.3">
      <c r="B41" s="7" t="s">
        <v>179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2:17" x14ac:dyDescent="0.3">
      <c r="B42" s="63" t="s">
        <v>243</v>
      </c>
      <c r="C42" s="64"/>
      <c r="D42" s="123"/>
      <c r="E42" s="123"/>
      <c r="F42" s="123"/>
      <c r="G42" s="63"/>
      <c r="H42" s="124">
        <f>H39+5%</f>
        <v>0.29202847277074945</v>
      </c>
      <c r="I42" s="124">
        <f t="shared" ref="I42:P42" si="21">I39+5%</f>
        <v>0.29202847277074945</v>
      </c>
      <c r="J42" s="124">
        <f t="shared" si="21"/>
        <v>0.29202847277074945</v>
      </c>
      <c r="K42" s="124">
        <f t="shared" si="21"/>
        <v>0.29202847277074945</v>
      </c>
      <c r="L42" s="124">
        <f t="shared" si="21"/>
        <v>0.29202847277074945</v>
      </c>
      <c r="M42" s="124">
        <f t="shared" si="21"/>
        <v>0.29202847277074945</v>
      </c>
      <c r="N42" s="124">
        <f t="shared" si="21"/>
        <v>0.29202847277074945</v>
      </c>
      <c r="O42" s="124">
        <f t="shared" si="21"/>
        <v>0.29202847277074945</v>
      </c>
      <c r="P42" s="124">
        <f t="shared" si="21"/>
        <v>0.29202847277074945</v>
      </c>
      <c r="Q42" s="124">
        <f t="shared" ref="Q42" si="22">Q39-5%</f>
        <v>0.19202847277074941</v>
      </c>
    </row>
    <row r="43" spans="2:17" s="6" customFormat="1" x14ac:dyDescent="0.3">
      <c r="B43" s="63" t="str">
        <f>B33</f>
        <v>Capex as a % of revenue</v>
      </c>
      <c r="C43" s="64"/>
      <c r="D43" s="123"/>
      <c r="E43" s="123"/>
      <c r="F43" s="123"/>
      <c r="G43" s="63"/>
      <c r="H43" s="124">
        <f>H40+3%</f>
        <v>9.4053330662578413E-2</v>
      </c>
      <c r="I43" s="124">
        <f t="shared" ref="I43:P43" si="23">I40+3%</f>
        <v>9.4053330662578413E-2</v>
      </c>
      <c r="J43" s="124">
        <f t="shared" si="23"/>
        <v>9.4053330662578413E-2</v>
      </c>
      <c r="K43" s="124">
        <f t="shared" si="23"/>
        <v>9.4053330662578413E-2</v>
      </c>
      <c r="L43" s="124">
        <f t="shared" si="23"/>
        <v>9.4053330662578413E-2</v>
      </c>
      <c r="M43" s="124">
        <f t="shared" si="23"/>
        <v>9.4053330662578413E-2</v>
      </c>
      <c r="N43" s="124">
        <f t="shared" si="23"/>
        <v>9.4053330662578413E-2</v>
      </c>
      <c r="O43" s="124">
        <f t="shared" si="23"/>
        <v>9.4053330662578413E-2</v>
      </c>
      <c r="P43" s="124">
        <f t="shared" si="23"/>
        <v>9.4053330662578413E-2</v>
      </c>
      <c r="Q43" s="124">
        <f t="shared" ref="Q43" si="24">Q40-3%</f>
        <v>3.4053330662578415E-2</v>
      </c>
    </row>
  </sheetData>
  <mergeCells count="2">
    <mergeCell ref="B5:Q5"/>
    <mergeCell ref="B15:Q15"/>
  </mergeCells>
  <dataValidations count="1">
    <dataValidation type="list" allowBlank="1" showInputMessage="1" showErrorMessage="1" sqref="C3" xr:uid="{277B0C7E-D5CD-40E5-B056-B0F70DA5B645}">
      <formula1>"1,2"</formula1>
    </dataValidation>
  </dataValidation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8B9B-950D-452C-8A1F-7D6E7D93527F}">
  <dimension ref="A1:G16"/>
  <sheetViews>
    <sheetView workbookViewId="0"/>
  </sheetViews>
  <sheetFormatPr defaultColWidth="9.109375" defaultRowHeight="15.6" x14ac:dyDescent="0.3"/>
  <cols>
    <col min="1" max="1" width="2" style="6" customWidth="1"/>
    <col min="2" max="2" width="17.6640625" style="6" customWidth="1"/>
    <col min="3" max="3" width="12.88671875" style="6" customWidth="1"/>
    <col min="4" max="4" width="13.77734375" style="6" customWidth="1"/>
    <col min="5" max="5" width="3" style="6" customWidth="1"/>
    <col min="6" max="6" width="16.6640625" style="6" customWidth="1"/>
    <col min="7" max="7" width="12.88671875" style="6" customWidth="1"/>
    <col min="8" max="16384" width="9.109375" style="6"/>
  </cols>
  <sheetData>
    <row r="1" spans="1:7" ht="21" x14ac:dyDescent="0.3">
      <c r="A1" s="55"/>
      <c r="B1" s="16" t="s">
        <v>361</v>
      </c>
    </row>
    <row r="2" spans="1:7" ht="16.2" x14ac:dyDescent="0.3">
      <c r="A2" s="55"/>
      <c r="B2" s="4"/>
    </row>
    <row r="3" spans="1:7" ht="16.2" x14ac:dyDescent="0.3">
      <c r="A3" s="55"/>
      <c r="B3" s="4" t="s">
        <v>206</v>
      </c>
    </row>
    <row r="5" spans="1:7" ht="16.2" x14ac:dyDescent="0.3">
      <c r="C5" s="267" t="s">
        <v>246</v>
      </c>
      <c r="D5" s="267"/>
      <c r="F5" s="267" t="s">
        <v>247</v>
      </c>
      <c r="G5" s="267"/>
    </row>
    <row r="6" spans="1:7" ht="32.4" x14ac:dyDescent="0.35">
      <c r="B6" s="74" t="s">
        <v>3</v>
      </c>
      <c r="C6" s="50" t="s">
        <v>140</v>
      </c>
      <c r="D6" s="50" t="s">
        <v>141</v>
      </c>
      <c r="E6" s="154"/>
      <c r="F6" s="50" t="s">
        <v>140</v>
      </c>
      <c r="G6" s="50" t="s">
        <v>141</v>
      </c>
    </row>
    <row r="7" spans="1:7" x14ac:dyDescent="0.3">
      <c r="B7" s="6" t="s">
        <v>142</v>
      </c>
      <c r="C7" s="133">
        <v>-0.1959225806451613</v>
      </c>
      <c r="D7" s="8">
        <f t="shared" ref="D7:D15" si="0">C7</f>
        <v>-0.1959225806451613</v>
      </c>
      <c r="F7" s="133">
        <v>-5.5320358212435423E-2</v>
      </c>
      <c r="G7" s="10">
        <f t="shared" ref="G7:G13" si="1">F7</f>
        <v>-5.5320358212435423E-2</v>
      </c>
    </row>
    <row r="8" spans="1:7" x14ac:dyDescent="0.3">
      <c r="B8" s="6" t="s">
        <v>143</v>
      </c>
      <c r="C8" s="8">
        <v>-0.21112278180109459</v>
      </c>
      <c r="D8" s="8">
        <f t="shared" si="0"/>
        <v>-0.21112278180109459</v>
      </c>
      <c r="F8" s="8">
        <v>-4.8992944194996793E-2</v>
      </c>
      <c r="G8" s="10">
        <f t="shared" si="1"/>
        <v>-4.8992944194996793E-2</v>
      </c>
    </row>
    <row r="9" spans="1:7" x14ac:dyDescent="0.3">
      <c r="B9" s="6" t="s">
        <v>144</v>
      </c>
      <c r="C9" s="8">
        <v>-0.2930998322147651</v>
      </c>
      <c r="D9" s="8">
        <f t="shared" si="0"/>
        <v>-0.2930998322147651</v>
      </c>
      <c r="F9" s="8">
        <v>-7.7504690951777935E-2</v>
      </c>
      <c r="G9" s="8">
        <f t="shared" si="1"/>
        <v>-7.7504690951777935E-2</v>
      </c>
    </row>
    <row r="10" spans="1:7" x14ac:dyDescent="0.3">
      <c r="B10" s="6" t="s">
        <v>145</v>
      </c>
      <c r="C10" s="8">
        <v>-0.29601301156094773</v>
      </c>
      <c r="D10" s="8">
        <f t="shared" si="0"/>
        <v>-0.29601301156094773</v>
      </c>
      <c r="F10" s="8">
        <v>-7.3449532078270541E-2</v>
      </c>
      <c r="G10" s="10">
        <f t="shared" si="1"/>
        <v>-7.3449532078270541E-2</v>
      </c>
    </row>
    <row r="11" spans="1:7" x14ac:dyDescent="0.3">
      <c r="B11" s="6" t="s">
        <v>248</v>
      </c>
      <c r="C11" s="8">
        <v>-0.19381848531351803</v>
      </c>
      <c r="D11" s="8">
        <f t="shared" si="0"/>
        <v>-0.19381848531351803</v>
      </c>
      <c r="F11" s="8">
        <v>-4.1674143969434717E-2</v>
      </c>
      <c r="G11" s="10">
        <f t="shared" si="1"/>
        <v>-4.1674143969434717E-2</v>
      </c>
    </row>
    <row r="12" spans="1:7" x14ac:dyDescent="0.3">
      <c r="B12" s="6" t="s">
        <v>146</v>
      </c>
      <c r="C12" s="8">
        <v>-0.2151106542508163</v>
      </c>
      <c r="D12" s="8">
        <f t="shared" si="0"/>
        <v>-0.2151106542508163</v>
      </c>
      <c r="F12" s="8">
        <v>-5.6326989455017573E-2</v>
      </c>
      <c r="G12" s="10">
        <f t="shared" si="1"/>
        <v>-5.6326989455017573E-2</v>
      </c>
    </row>
    <row r="13" spans="1:7" x14ac:dyDescent="0.3">
      <c r="B13" s="6" t="s">
        <v>207</v>
      </c>
      <c r="C13" s="8">
        <v>-0.24491682070240295</v>
      </c>
      <c r="D13" s="8">
        <f t="shared" si="0"/>
        <v>-0.24491682070240295</v>
      </c>
      <c r="F13" s="8">
        <v>-6.5664491616420254E-2</v>
      </c>
      <c r="G13" s="10">
        <f t="shared" si="1"/>
        <v>-6.5664491616420254E-2</v>
      </c>
    </row>
    <row r="14" spans="1:7" x14ac:dyDescent="0.3">
      <c r="B14" s="6" t="s">
        <v>209</v>
      </c>
      <c r="C14" s="8">
        <v>-0.32922296223444636</v>
      </c>
      <c r="D14" s="8">
        <f t="shared" si="0"/>
        <v>-0.32922296223444636</v>
      </c>
      <c r="F14" s="8">
        <v>-9.3493494822274106E-2</v>
      </c>
      <c r="G14" s="10">
        <f>F14</f>
        <v>-9.3493494822274106E-2</v>
      </c>
    </row>
    <row r="15" spans="1:7" x14ac:dyDescent="0.3">
      <c r="B15" s="6" t="s">
        <v>212</v>
      </c>
      <c r="C15" s="8">
        <v>-0.19902912621359223</v>
      </c>
      <c r="D15" s="8">
        <f t="shared" si="0"/>
        <v>-0.19902912621359223</v>
      </c>
      <c r="F15" s="8">
        <v>-2.3797678275290217E-2</v>
      </c>
      <c r="G15" s="68"/>
    </row>
    <row r="16" spans="1:7" ht="16.2" x14ac:dyDescent="0.3">
      <c r="B16" s="21" t="s">
        <v>140</v>
      </c>
      <c r="C16" s="153">
        <f>AVERAGE(C7:C15)</f>
        <v>-0.24202847277074943</v>
      </c>
      <c r="D16" s="153">
        <f>AVERAGE(D7:D15)</f>
        <v>-0.24202847277074943</v>
      </c>
      <c r="F16" s="153">
        <f>AVERAGE(F7:F15)</f>
        <v>-5.9580480397324172E-2</v>
      </c>
      <c r="G16" s="153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44FF-745B-497F-8B8A-55F978F635DA}">
  <sheetPr>
    <tabColor rgb="FF002060"/>
  </sheetPr>
  <dimension ref="B13"/>
  <sheetViews>
    <sheetView showGridLines="0" workbookViewId="0"/>
  </sheetViews>
  <sheetFormatPr defaultRowHeight="14.4" x14ac:dyDescent="0.3"/>
  <sheetData>
    <row r="13" spans="2:2" ht="61.8" x14ac:dyDescent="1.1499999999999999">
      <c r="B13" s="41" t="s">
        <v>363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FA1D-E0EB-4805-88D8-724F988F67DD}">
  <dimension ref="B1:Q14"/>
  <sheetViews>
    <sheetView workbookViewId="0"/>
  </sheetViews>
  <sheetFormatPr defaultColWidth="9.109375" defaultRowHeight="15.6" x14ac:dyDescent="0.3"/>
  <cols>
    <col min="1" max="1" width="3.33203125" style="5" customWidth="1"/>
    <col min="2" max="2" width="19.109375" style="5" customWidth="1"/>
    <col min="3" max="3" width="12.44140625" style="5" customWidth="1"/>
    <col min="4" max="4" width="13.44140625" style="5" customWidth="1"/>
    <col min="5" max="6" width="13.109375" style="5" customWidth="1"/>
    <col min="7" max="7" width="12.77734375" style="5" customWidth="1"/>
    <col min="8" max="8" width="14.33203125" style="5" customWidth="1"/>
    <col min="9" max="9" width="12.109375" style="5" customWidth="1"/>
    <col min="10" max="10" width="14.21875" style="5" customWidth="1"/>
    <col min="11" max="11" width="12.21875" style="5" customWidth="1"/>
    <col min="12" max="12" width="12.109375" style="5" customWidth="1"/>
    <col min="13" max="13" width="14.44140625" style="5" customWidth="1"/>
    <col min="14" max="14" width="12.33203125" style="5" bestFit="1" customWidth="1"/>
    <col min="15" max="15" width="12.88671875" style="5" customWidth="1"/>
    <col min="16" max="16" width="12.44140625" style="5" customWidth="1"/>
    <col min="17" max="17" width="13.109375" style="5" customWidth="1"/>
    <col min="18" max="16384" width="9.109375" style="5"/>
  </cols>
  <sheetData>
    <row r="1" spans="2:17" ht="21" x14ac:dyDescent="0.4">
      <c r="B1" s="71" t="s">
        <v>365</v>
      </c>
    </row>
    <row r="3" spans="2:17" ht="16.2" x14ac:dyDescent="0.3">
      <c r="B3" s="265" t="s">
        <v>250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</row>
    <row r="4" spans="2:17" ht="48.6" x14ac:dyDescent="0.3">
      <c r="B4" s="114" t="s">
        <v>200</v>
      </c>
      <c r="C4" s="164" t="s">
        <v>220</v>
      </c>
      <c r="D4" s="164" t="s">
        <v>221</v>
      </c>
      <c r="E4" s="164" t="s">
        <v>222</v>
      </c>
      <c r="F4" s="164" t="s">
        <v>223</v>
      </c>
      <c r="G4" s="164" t="s">
        <v>224</v>
      </c>
      <c r="H4" s="165" t="s">
        <v>225</v>
      </c>
      <c r="I4" s="165" t="s">
        <v>226</v>
      </c>
      <c r="J4" s="165" t="s">
        <v>227</v>
      </c>
      <c r="K4" s="165" t="s">
        <v>228</v>
      </c>
      <c r="L4" s="165" t="s">
        <v>229</v>
      </c>
      <c r="M4" s="165" t="s">
        <v>230</v>
      </c>
      <c r="N4" s="165" t="s">
        <v>231</v>
      </c>
      <c r="O4" s="165" t="s">
        <v>232</v>
      </c>
      <c r="P4" s="165" t="s">
        <v>233</v>
      </c>
      <c r="Q4" s="165" t="s">
        <v>234</v>
      </c>
    </row>
    <row r="5" spans="2:17" x14ac:dyDescent="0.3">
      <c r="B5" s="6" t="s">
        <v>251</v>
      </c>
      <c r="C5" s="166">
        <f>'Balance Sheet Input'!C6/1000</f>
        <v>168.965</v>
      </c>
      <c r="D5" s="166">
        <f>'Balance Sheet Input'!D6/1000</f>
        <v>499.142</v>
      </c>
      <c r="E5" s="166">
        <f>'Balance Sheet Input'!E6/1000</f>
        <v>515.38099999999997</v>
      </c>
      <c r="F5" s="166">
        <f>'Balance Sheet Input'!F6/1000</f>
        <v>949.02200000000005</v>
      </c>
      <c r="G5" s="166">
        <f>'Balance Sheet Input'!G6/1000</f>
        <v>1324</v>
      </c>
      <c r="H5" s="167">
        <f>H11*('P&amp;L '!H5)/360</f>
        <v>1957.8705953666226</v>
      </c>
      <c r="I5" s="167">
        <f>I11*('P&amp;L '!I5)/360</f>
        <v>2601.1791047996007</v>
      </c>
      <c r="J5" s="167">
        <f>J11*('P&amp;L '!J5)/360</f>
        <v>3536.9606851732929</v>
      </c>
      <c r="K5" s="167">
        <f>K11*('P&amp;L '!K5)/360</f>
        <v>4551.9615533216038</v>
      </c>
      <c r="L5" s="167">
        <f>L11*('P&amp;L '!L5)/360</f>
        <v>5204.234193399785</v>
      </c>
      <c r="M5" s="167">
        <f>M11*('P&amp;L '!M5)/360</f>
        <v>5577.3916231785697</v>
      </c>
      <c r="N5" s="167">
        <f>N11*('P&amp;L '!N5)/360</f>
        <v>5944.7471123970618</v>
      </c>
      <c r="O5" s="167">
        <f>O11*('P&amp;L '!O5)/360</f>
        <v>6318.9880053612278</v>
      </c>
      <c r="P5" s="167">
        <f>P11*('P&amp;L '!P5)/360</f>
        <v>6632.8989605478373</v>
      </c>
      <c r="Q5" s="167">
        <f>Q11*('P&amp;L '!Q5)/360</f>
        <v>6916.5155590275044</v>
      </c>
    </row>
    <row r="6" spans="2:17" x14ac:dyDescent="0.3">
      <c r="B6" s="6" t="s">
        <v>75</v>
      </c>
      <c r="C6" s="166">
        <f>'Balance Sheet Input'!C7/1000</f>
        <v>1277.838</v>
      </c>
      <c r="D6" s="166">
        <f>'Balance Sheet Input'!D7/1000</f>
        <v>2067.4540000000002</v>
      </c>
      <c r="E6" s="166">
        <f>'Balance Sheet Input'!E7/1000</f>
        <v>2263.5369999999998</v>
      </c>
      <c r="F6" s="166">
        <f>'Balance Sheet Input'!F7/1000</f>
        <v>3113.4459999999999</v>
      </c>
      <c r="G6" s="166">
        <f>'Balance Sheet Input'!G7/1000</f>
        <v>3552</v>
      </c>
      <c r="H6" s="167">
        <f>-H12*('P&amp;L '!H6)/360</f>
        <v>8351.4201472431869</v>
      </c>
      <c r="I6" s="167">
        <f>-I12*('P&amp;L '!I6)/360</f>
        <v>11210.30407606138</v>
      </c>
      <c r="J6" s="167">
        <f>-J12*('P&amp;L '!J6)/360</f>
        <v>15317.381819211099</v>
      </c>
      <c r="K6" s="167">
        <f>-K12*('P&amp;L '!K6)/360</f>
        <v>19780.399801468891</v>
      </c>
      <c r="L6" s="167">
        <f>-L12*('P&amp;L '!L6)/360</f>
        <v>22604.49514529622</v>
      </c>
      <c r="M6" s="167">
        <f>-M12*('P&amp;L '!M6)/360</f>
        <v>24249.430837912176</v>
      </c>
      <c r="N6" s="167">
        <f>-N12*('P&amp;L '!N6)/360</f>
        <v>25866.918844584336</v>
      </c>
      <c r="O6" s="167">
        <f>-O12*('P&amp;L '!O6)/360</f>
        <v>27518.192684894198</v>
      </c>
      <c r="P6" s="167">
        <f>-P12*('P&amp;L '!P6)/360</f>
        <v>28897.851364771406</v>
      </c>
      <c r="Q6" s="167">
        <f>-Q12*('P&amp;L '!Q6)/360</f>
        <v>30150.922265250127</v>
      </c>
    </row>
    <row r="7" spans="2:17" x14ac:dyDescent="0.3">
      <c r="B7" s="6" t="s">
        <v>252</v>
      </c>
      <c r="C7" s="166">
        <f>'Balance Sheet Input'!C19/1000</f>
        <v>916.14800000000002</v>
      </c>
      <c r="D7" s="166">
        <f>'Balance Sheet Input'!D19/1000</f>
        <v>1860.3409999999999</v>
      </c>
      <c r="E7" s="166">
        <f>'Balance Sheet Input'!E19/1000</f>
        <v>2390.25</v>
      </c>
      <c r="F7" s="166">
        <f>'Balance Sheet Input'!F19/1000</f>
        <v>3404.451</v>
      </c>
      <c r="G7" s="166">
        <f>'Balance Sheet Input'!G19/1000</f>
        <v>3771</v>
      </c>
      <c r="H7" s="167">
        <f>-H13*('P&amp;L '!H6)/360</f>
        <v>7665.1487748212348</v>
      </c>
      <c r="I7" s="167">
        <f>-I13*('P&amp;L '!I6)/360</f>
        <v>10289.106168650913</v>
      </c>
      <c r="J7" s="167">
        <f>-J13*('P&amp;L '!J6)/360</f>
        <v>14058.688033286433</v>
      </c>
      <c r="K7" s="167">
        <f>-K13*('P&amp;L '!K6)/360</f>
        <v>18154.961028245398</v>
      </c>
      <c r="L7" s="167">
        <f>-L13*('P&amp;L '!L6)/360</f>
        <v>20746.988561653845</v>
      </c>
      <c r="M7" s="167">
        <f>-M13*('P&amp;L '!M6)/360</f>
        <v>22256.752959398469</v>
      </c>
      <c r="N7" s="167">
        <f>-N13*('P&amp;L '!N6)/360</f>
        <v>23741.325163171958</v>
      </c>
      <c r="O7" s="167">
        <f>-O13*('P&amp;L '!O6)/360</f>
        <v>25256.906876316123</v>
      </c>
      <c r="P7" s="167">
        <f>-P13*('P&amp;L '!P6)/360</f>
        <v>26523.193190892594</v>
      </c>
      <c r="Q7" s="167">
        <f>-Q13*('P&amp;L '!Q6)/360</f>
        <v>27673.293977133024</v>
      </c>
    </row>
    <row r="8" spans="2:17" ht="16.8" thickBot="1" x14ac:dyDescent="0.4">
      <c r="B8" s="60" t="s">
        <v>249</v>
      </c>
      <c r="C8" s="61">
        <f>C5+C6-C7</f>
        <v>530.65499999999986</v>
      </c>
      <c r="D8" s="61">
        <f t="shared" ref="D8:Q8" si="0">D5+D6-D7</f>
        <v>706.25500000000011</v>
      </c>
      <c r="E8" s="61">
        <f t="shared" si="0"/>
        <v>388.66799999999967</v>
      </c>
      <c r="F8" s="61">
        <f t="shared" si="0"/>
        <v>658.01699999999983</v>
      </c>
      <c r="G8" s="61">
        <f t="shared" si="0"/>
        <v>1105</v>
      </c>
      <c r="H8" s="132">
        <f t="shared" si="0"/>
        <v>2644.1419677885751</v>
      </c>
      <c r="I8" s="132">
        <f t="shared" si="0"/>
        <v>3522.3770122100686</v>
      </c>
      <c r="J8" s="132">
        <f t="shared" si="0"/>
        <v>4795.6544710979597</v>
      </c>
      <c r="K8" s="132">
        <f t="shared" si="0"/>
        <v>6177.4003265450992</v>
      </c>
      <c r="L8" s="132">
        <f t="shared" si="0"/>
        <v>7061.7407770421596</v>
      </c>
      <c r="M8" s="132">
        <f t="shared" si="0"/>
        <v>7570.0695016922764</v>
      </c>
      <c r="N8" s="132">
        <f t="shared" si="0"/>
        <v>8070.3407938094388</v>
      </c>
      <c r="O8" s="132">
        <f t="shared" si="0"/>
        <v>8580.2738139393005</v>
      </c>
      <c r="P8" s="132">
        <f t="shared" si="0"/>
        <v>9007.5571344266464</v>
      </c>
      <c r="Q8" s="132">
        <f t="shared" si="0"/>
        <v>9394.1438471446054</v>
      </c>
    </row>
    <row r="9" spans="2:17" x14ac:dyDescent="0.3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2:17" ht="16.2" x14ac:dyDescent="0.3">
      <c r="B10" s="7" t="s">
        <v>253</v>
      </c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</row>
    <row r="11" spans="2:17" ht="16.2" x14ac:dyDescent="0.3">
      <c r="B11" s="83" t="s">
        <v>58</v>
      </c>
      <c r="C11" s="160">
        <f>'Balance Sheet Input'!C40</f>
        <v>15.033866572747325</v>
      </c>
      <c r="D11" s="160">
        <f>'Balance Sheet Input'!D40</f>
        <v>25.66967594325364</v>
      </c>
      <c r="E11" s="160">
        <f>'Balance Sheet Input'!E40</f>
        <v>15.77864519794662</v>
      </c>
      <c r="F11" s="160">
        <f>'Balance Sheet Input'!F40</f>
        <v>15.919279326831946</v>
      </c>
      <c r="G11" s="160">
        <f>'Balance Sheet Input'!G40</f>
        <v>19.392953047440802</v>
      </c>
      <c r="H11" s="160">
        <f>AVERAGE($C$11:$G$11)</f>
        <v>18.358884017644066</v>
      </c>
      <c r="I11" s="160">
        <f t="shared" ref="I11:Q11" si="1">AVERAGE($C$11:$G$11)</f>
        <v>18.358884017644066</v>
      </c>
      <c r="J11" s="160">
        <f t="shared" si="1"/>
        <v>18.358884017644066</v>
      </c>
      <c r="K11" s="160">
        <f t="shared" si="1"/>
        <v>18.358884017644066</v>
      </c>
      <c r="L11" s="160">
        <f t="shared" si="1"/>
        <v>18.358884017644066</v>
      </c>
      <c r="M11" s="160">
        <f t="shared" si="1"/>
        <v>18.358884017644066</v>
      </c>
      <c r="N11" s="160">
        <f t="shared" si="1"/>
        <v>18.358884017644066</v>
      </c>
      <c r="O11" s="160">
        <f t="shared" si="1"/>
        <v>18.358884017644066</v>
      </c>
      <c r="P11" s="160">
        <f t="shared" si="1"/>
        <v>18.358884017644066</v>
      </c>
      <c r="Q11" s="160">
        <f t="shared" si="1"/>
        <v>18.358884017644066</v>
      </c>
    </row>
    <row r="12" spans="2:17" ht="16.2" x14ac:dyDescent="0.3">
      <c r="B12" s="83" t="s">
        <v>59</v>
      </c>
      <c r="C12" s="160">
        <f>'Balance Sheet Input'!C41</f>
        <v>147.32375944829212</v>
      </c>
      <c r="D12" s="160">
        <f>'Balance Sheet Input'!D41</f>
        <v>137.80793667692734</v>
      </c>
      <c r="E12" s="160">
        <f>'Balance Sheet Input'!E41</f>
        <v>85.449953986173199</v>
      </c>
      <c r="F12" s="160">
        <f>'Balance Sheet Input'!F41</f>
        <v>64.344949009563962</v>
      </c>
      <c r="G12" s="160">
        <f>'Balance Sheet Input'!G41</f>
        <v>62.34921254083573</v>
      </c>
      <c r="H12" s="160">
        <f>AVERAGE($C$12:$G$12)</f>
        <v>99.455162332358469</v>
      </c>
      <c r="I12" s="160">
        <f t="shared" ref="I12:Q12" si="2">AVERAGE($C$12:$G$12)</f>
        <v>99.455162332358469</v>
      </c>
      <c r="J12" s="160">
        <f t="shared" si="2"/>
        <v>99.455162332358469</v>
      </c>
      <c r="K12" s="160">
        <f t="shared" si="2"/>
        <v>99.455162332358469</v>
      </c>
      <c r="L12" s="160">
        <f t="shared" si="2"/>
        <v>99.455162332358469</v>
      </c>
      <c r="M12" s="160">
        <f t="shared" si="2"/>
        <v>99.455162332358469</v>
      </c>
      <c r="N12" s="160">
        <f t="shared" si="2"/>
        <v>99.455162332358469</v>
      </c>
      <c r="O12" s="160">
        <f t="shared" si="2"/>
        <v>99.455162332358469</v>
      </c>
      <c r="P12" s="160">
        <f t="shared" si="2"/>
        <v>99.455162332358469</v>
      </c>
      <c r="Q12" s="160">
        <f t="shared" si="2"/>
        <v>99.455162332358469</v>
      </c>
    </row>
    <row r="13" spans="2:17" ht="16.2" x14ac:dyDescent="0.3">
      <c r="B13" s="83" t="s">
        <v>60</v>
      </c>
      <c r="C13" s="160">
        <f>'Balance Sheet Input'!C42</f>
        <v>105.62400521117225</v>
      </c>
      <c r="D13" s="160">
        <f>'Balance Sheet Input'!D42</f>
        <v>124.00264031291226</v>
      </c>
      <c r="E13" s="160">
        <f>'Balance Sheet Input'!E42</f>
        <v>90.233449912879919</v>
      </c>
      <c r="F13" s="160">
        <f>'Balance Sheet Input'!F42</f>
        <v>70.359089574882319</v>
      </c>
      <c r="G13" s="160">
        <f>'Balance Sheet Input'!G42</f>
        <v>66.193378516748751</v>
      </c>
      <c r="H13" s="160">
        <f>AVERAGE($C$13:$G$13)</f>
        <v>91.282512705719085</v>
      </c>
      <c r="I13" s="160">
        <f t="shared" ref="I13:Q13" si="3">AVERAGE($C$13:$G$13)</f>
        <v>91.282512705719085</v>
      </c>
      <c r="J13" s="160">
        <f t="shared" si="3"/>
        <v>91.282512705719085</v>
      </c>
      <c r="K13" s="160">
        <f t="shared" si="3"/>
        <v>91.282512705719085</v>
      </c>
      <c r="L13" s="160">
        <f t="shared" si="3"/>
        <v>91.282512705719085</v>
      </c>
      <c r="M13" s="160">
        <f t="shared" si="3"/>
        <v>91.282512705719085</v>
      </c>
      <c r="N13" s="160">
        <f t="shared" si="3"/>
        <v>91.282512705719085</v>
      </c>
      <c r="O13" s="160">
        <f t="shared" si="3"/>
        <v>91.282512705719085</v>
      </c>
      <c r="P13" s="160">
        <f t="shared" si="3"/>
        <v>91.282512705719085</v>
      </c>
      <c r="Q13" s="160">
        <f t="shared" si="3"/>
        <v>91.282512705719085</v>
      </c>
    </row>
    <row r="14" spans="2:17" ht="16.2" x14ac:dyDescent="0.35">
      <c r="B14" s="32" t="s">
        <v>249</v>
      </c>
      <c r="C14" s="160">
        <f>C11+C12-C13</f>
        <v>56.73362080986719</v>
      </c>
      <c r="D14" s="160">
        <f t="shared" ref="D14:Q14" si="4">D11+D12-D13</f>
        <v>39.474972307268729</v>
      </c>
      <c r="E14" s="160">
        <f t="shared" si="4"/>
        <v>10.995149271239896</v>
      </c>
      <c r="F14" s="160">
        <f t="shared" si="4"/>
        <v>9.9051387615135837</v>
      </c>
      <c r="G14" s="160">
        <f t="shared" si="4"/>
        <v>15.548787071527784</v>
      </c>
      <c r="H14" s="160">
        <f t="shared" si="4"/>
        <v>26.531533644283456</v>
      </c>
      <c r="I14" s="160">
        <f t="shared" si="4"/>
        <v>26.531533644283456</v>
      </c>
      <c r="J14" s="160">
        <f t="shared" si="4"/>
        <v>26.531533644283456</v>
      </c>
      <c r="K14" s="160">
        <f t="shared" si="4"/>
        <v>26.531533644283456</v>
      </c>
      <c r="L14" s="160">
        <f t="shared" si="4"/>
        <v>26.531533644283456</v>
      </c>
      <c r="M14" s="160">
        <f t="shared" si="4"/>
        <v>26.531533644283456</v>
      </c>
      <c r="N14" s="160">
        <f t="shared" si="4"/>
        <v>26.531533644283456</v>
      </c>
      <c r="O14" s="160">
        <f t="shared" si="4"/>
        <v>26.531533644283456</v>
      </c>
      <c r="P14" s="160">
        <f t="shared" si="4"/>
        <v>26.531533644283456</v>
      </c>
      <c r="Q14" s="160">
        <f t="shared" si="4"/>
        <v>26.531533644283456</v>
      </c>
    </row>
  </sheetData>
  <mergeCells count="1">
    <mergeCell ref="B3:Q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AC37-479A-4D95-8E08-61097C09C8D7}">
  <dimension ref="A1:M15"/>
  <sheetViews>
    <sheetView workbookViewId="0"/>
  </sheetViews>
  <sheetFormatPr defaultColWidth="9.109375" defaultRowHeight="15.6" x14ac:dyDescent="0.3"/>
  <cols>
    <col min="1" max="1" width="3.33203125" style="6" customWidth="1"/>
    <col min="2" max="2" width="17.6640625" style="6" customWidth="1"/>
    <col min="3" max="4" width="12.88671875" style="6" customWidth="1"/>
    <col min="5" max="5" width="2" style="6" customWidth="1"/>
    <col min="6" max="6" width="12.88671875" style="6" customWidth="1"/>
    <col min="7" max="7" width="13.5546875" style="6" customWidth="1"/>
    <col min="8" max="8" width="2" style="6" customWidth="1"/>
    <col min="9" max="9" width="11.21875" style="6" customWidth="1"/>
    <col min="10" max="10" width="10.21875" style="6" customWidth="1"/>
    <col min="11" max="11" width="2" style="6" customWidth="1"/>
    <col min="12" max="12" width="11.6640625" style="6" customWidth="1"/>
    <col min="13" max="13" width="9.6640625" style="6" bestFit="1" customWidth="1"/>
    <col min="14" max="16384" width="9.109375" style="6"/>
  </cols>
  <sheetData>
    <row r="1" spans="1:13" ht="21" x14ac:dyDescent="0.3">
      <c r="A1" s="55"/>
      <c r="B1" s="16" t="s">
        <v>364</v>
      </c>
    </row>
    <row r="2" spans="1:13" ht="16.2" x14ac:dyDescent="0.3">
      <c r="A2" s="55"/>
      <c r="B2" s="4"/>
    </row>
    <row r="3" spans="1:13" ht="16.2" x14ac:dyDescent="0.3">
      <c r="A3" s="55"/>
      <c r="B3" s="4" t="s">
        <v>206</v>
      </c>
    </row>
    <row r="5" spans="1:13" ht="16.2" x14ac:dyDescent="0.3">
      <c r="C5" s="265" t="s">
        <v>58</v>
      </c>
      <c r="D5" s="265"/>
      <c r="F5" s="265" t="s">
        <v>59</v>
      </c>
      <c r="G5" s="265"/>
      <c r="I5" s="265" t="s">
        <v>60</v>
      </c>
      <c r="J5" s="265"/>
      <c r="L5" s="265" t="s">
        <v>249</v>
      </c>
      <c r="M5" s="265"/>
    </row>
    <row r="6" spans="1:13" s="163" customFormat="1" ht="48.6" x14ac:dyDescent="0.3">
      <c r="B6" s="56" t="s">
        <v>103</v>
      </c>
      <c r="C6" s="164" t="s">
        <v>140</v>
      </c>
      <c r="D6" s="164" t="s">
        <v>141</v>
      </c>
      <c r="F6" s="164" t="s">
        <v>140</v>
      </c>
      <c r="G6" s="164" t="s">
        <v>141</v>
      </c>
      <c r="I6" s="164" t="s">
        <v>140</v>
      </c>
      <c r="J6" s="164" t="s">
        <v>141</v>
      </c>
      <c r="L6" s="165" t="s">
        <v>140</v>
      </c>
      <c r="M6" s="165" t="s">
        <v>141</v>
      </c>
    </row>
    <row r="7" spans="1:13" x14ac:dyDescent="0.3">
      <c r="B7" s="6" t="s">
        <v>142</v>
      </c>
      <c r="C7" s="155">
        <v>19.942785887185508</v>
      </c>
      <c r="D7" s="156">
        <f>C7</f>
        <v>19.942785887185508</v>
      </c>
      <c r="F7" s="157">
        <v>33.829608408419261</v>
      </c>
      <c r="G7" s="156">
        <f>F7</f>
        <v>33.829608408419261</v>
      </c>
      <c r="I7" s="157">
        <v>68.381487740734372</v>
      </c>
      <c r="J7" s="156">
        <f>I7</f>
        <v>68.381487740734372</v>
      </c>
      <c r="L7" s="158">
        <f>C7+F7-I7</f>
        <v>-14.609093445129602</v>
      </c>
      <c r="M7" s="159">
        <f>L7</f>
        <v>-14.609093445129602</v>
      </c>
    </row>
    <row r="8" spans="1:13" x14ac:dyDescent="0.3">
      <c r="B8" s="6" t="s">
        <v>143</v>
      </c>
      <c r="C8" s="155">
        <v>25.851186658114177</v>
      </c>
      <c r="D8" s="156">
        <f>C8</f>
        <v>25.851186658114177</v>
      </c>
      <c r="F8" s="155">
        <v>29.988195377636551</v>
      </c>
      <c r="G8" s="156">
        <f>F8</f>
        <v>29.988195377636551</v>
      </c>
      <c r="I8" s="155">
        <v>57.517465644094351</v>
      </c>
      <c r="J8" s="156">
        <f>I8</f>
        <v>57.517465644094351</v>
      </c>
      <c r="L8" s="158">
        <f t="shared" ref="L8:M14" si="0">C8+F8-I8</f>
        <v>-1.6780836083436199</v>
      </c>
      <c r="M8" s="159">
        <f>L8</f>
        <v>-1.6780836083436199</v>
      </c>
    </row>
    <row r="9" spans="1:13" x14ac:dyDescent="0.3">
      <c r="B9" s="6" t="s">
        <v>144</v>
      </c>
      <c r="C9" s="155">
        <v>22.055145257748158</v>
      </c>
      <c r="D9" s="156">
        <f>C9</f>
        <v>22.055145257748158</v>
      </c>
      <c r="F9" s="155">
        <v>37.567300674080116</v>
      </c>
      <c r="G9" s="156">
        <f>F9</f>
        <v>37.567300674080116</v>
      </c>
      <c r="I9" s="155">
        <v>83.527542827701694</v>
      </c>
      <c r="J9" s="156">
        <f>I9</f>
        <v>83.527542827701694</v>
      </c>
      <c r="L9" s="158">
        <f t="shared" si="0"/>
        <v>-23.90509689587342</v>
      </c>
      <c r="M9" s="159">
        <f>L9</f>
        <v>-23.90509689587342</v>
      </c>
    </row>
    <row r="10" spans="1:13" x14ac:dyDescent="0.3">
      <c r="B10" s="6" t="s">
        <v>145</v>
      </c>
      <c r="C10" s="155">
        <v>8.7485002508671279</v>
      </c>
      <c r="D10" s="156">
        <f>C10</f>
        <v>8.7485002508671279</v>
      </c>
      <c r="F10" s="155">
        <v>66.427198893187466</v>
      </c>
      <c r="G10" s="156">
        <f>F10</f>
        <v>66.427198893187466</v>
      </c>
      <c r="I10" s="155">
        <v>40.647690297455867</v>
      </c>
      <c r="J10" s="156">
        <f>I10</f>
        <v>40.647690297455867</v>
      </c>
      <c r="L10" s="158">
        <f t="shared" si="0"/>
        <v>34.528008846598723</v>
      </c>
      <c r="M10" s="159">
        <f>L10</f>
        <v>34.528008846598723</v>
      </c>
    </row>
    <row r="11" spans="1:13" x14ac:dyDescent="0.3">
      <c r="B11" s="6" t="s">
        <v>146</v>
      </c>
      <c r="C11" s="155">
        <v>25.565882390196016</v>
      </c>
      <c r="D11" s="156">
        <f>C11</f>
        <v>25.565882390196016</v>
      </c>
      <c r="F11" s="155">
        <v>82.692613887660329</v>
      </c>
      <c r="G11" s="156">
        <f>F11</f>
        <v>82.692613887660329</v>
      </c>
      <c r="I11" s="155">
        <v>40.238832375055289</v>
      </c>
      <c r="J11" s="156">
        <f>I11</f>
        <v>40.238832375055289</v>
      </c>
      <c r="L11" s="158">
        <f t="shared" si="0"/>
        <v>68.019663902801057</v>
      </c>
      <c r="M11" s="159">
        <f>L11</f>
        <v>68.019663902801057</v>
      </c>
    </row>
    <row r="12" spans="1:13" x14ac:dyDescent="0.3">
      <c r="B12" s="63" t="s">
        <v>207</v>
      </c>
      <c r="C12" s="160">
        <v>20.249442471297595</v>
      </c>
      <c r="D12" s="66"/>
      <c r="E12" s="63"/>
      <c r="F12" s="160">
        <v>82.889597957881293</v>
      </c>
      <c r="G12" s="66"/>
      <c r="H12" s="63"/>
      <c r="I12" s="160">
        <v>162.72367581365666</v>
      </c>
      <c r="J12" s="66"/>
      <c r="L12" s="158">
        <f t="shared" si="0"/>
        <v>-59.584635384477764</v>
      </c>
      <c r="M12" s="66"/>
    </row>
    <row r="13" spans="1:13" x14ac:dyDescent="0.3">
      <c r="B13" s="6" t="s">
        <v>209</v>
      </c>
      <c r="C13" s="155">
        <v>22.081784386617102</v>
      </c>
      <c r="D13" s="156">
        <f>C13</f>
        <v>22.081784386617102</v>
      </c>
      <c r="F13" s="155">
        <v>83.767313019390585</v>
      </c>
      <c r="G13" s="156">
        <f>F13</f>
        <v>83.767313019390585</v>
      </c>
      <c r="I13" s="155">
        <v>142.00554016620498</v>
      </c>
      <c r="J13" s="156">
        <f>I13</f>
        <v>142.00554016620498</v>
      </c>
      <c r="L13" s="158">
        <f t="shared" si="0"/>
        <v>-36.156442760197294</v>
      </c>
      <c r="M13" s="159">
        <f>L13</f>
        <v>-36.156442760197294</v>
      </c>
    </row>
    <row r="14" spans="1:13" x14ac:dyDescent="0.3">
      <c r="B14" s="6" t="s">
        <v>212</v>
      </c>
      <c r="C14" s="155">
        <v>19.492537313432834</v>
      </c>
      <c r="D14" s="156">
        <f>C14</f>
        <v>19.492537313432834</v>
      </c>
      <c r="F14" s="155">
        <v>20.192644483362521</v>
      </c>
      <c r="G14" s="156">
        <f>F14</f>
        <v>20.192644483362521</v>
      </c>
      <c r="I14" s="155">
        <v>55.936952714535906</v>
      </c>
      <c r="J14" s="156">
        <f>I14</f>
        <v>55.936952714535906</v>
      </c>
      <c r="L14" s="158">
        <f t="shared" si="0"/>
        <v>-16.251770917740551</v>
      </c>
      <c r="M14" s="158">
        <f t="shared" si="0"/>
        <v>-16.251770917740551</v>
      </c>
    </row>
    <row r="15" spans="1:13" ht="16.2" x14ac:dyDescent="0.3">
      <c r="B15" s="21" t="s">
        <v>140</v>
      </c>
      <c r="C15" s="161">
        <f>AVERAGE(C7:C14)</f>
        <v>20.498408076932314</v>
      </c>
      <c r="D15" s="161">
        <f>AVERAGE(D7:D14)</f>
        <v>20.533974592022989</v>
      </c>
      <c r="F15" s="161">
        <f>AVERAGE(F7:F14)</f>
        <v>54.669309087702267</v>
      </c>
      <c r="G15" s="161">
        <f>AVERAGE(G7:G14)</f>
        <v>50.637839249105262</v>
      </c>
      <c r="I15" s="161">
        <f>AVERAGE(I7:I14)</f>
        <v>81.372398447429887</v>
      </c>
      <c r="J15" s="161">
        <f>AVERAGE(J7:J14)</f>
        <v>69.750787395111772</v>
      </c>
      <c r="L15" s="162">
        <f>AVERAGE(L7:L14)</f>
        <v>-6.2046812827953088</v>
      </c>
      <c r="M15" s="162">
        <f>AVERAGE(M7:M14)</f>
        <v>1.4210264460164705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9EC4-8E3C-4C91-9139-1BE40EB72F15}">
  <sheetPr>
    <tabColor rgb="FF002060"/>
  </sheetPr>
  <dimension ref="B13"/>
  <sheetViews>
    <sheetView showGridLines="0" workbookViewId="0"/>
  </sheetViews>
  <sheetFormatPr defaultRowHeight="14.4" x14ac:dyDescent="0.3"/>
  <sheetData>
    <row r="13" spans="2:2" ht="61.8" x14ac:dyDescent="1.1499999999999999">
      <c r="B13" s="41" t="s">
        <v>385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88FD-3875-4D36-9D94-F90FCCF2802F}">
  <dimension ref="A1:Q20"/>
  <sheetViews>
    <sheetView workbookViewId="0"/>
  </sheetViews>
  <sheetFormatPr defaultColWidth="9.109375" defaultRowHeight="15.6" x14ac:dyDescent="0.3"/>
  <cols>
    <col min="1" max="1" width="3.33203125" style="5" customWidth="1"/>
    <col min="2" max="2" width="36.5546875" style="5" customWidth="1"/>
    <col min="3" max="3" width="12.21875" style="5" customWidth="1"/>
    <col min="4" max="4" width="13.6640625" style="5" customWidth="1"/>
    <col min="5" max="5" width="12.77734375" style="5" customWidth="1"/>
    <col min="6" max="6" width="12.88671875" style="5" customWidth="1"/>
    <col min="7" max="7" width="13.109375" style="5" customWidth="1"/>
    <col min="8" max="8" width="12.33203125" style="5" bestFit="1" customWidth="1"/>
    <col min="9" max="9" width="12.33203125" style="5" customWidth="1"/>
    <col min="10" max="10" width="13.88671875" style="5" customWidth="1"/>
    <col min="11" max="11" width="12.109375" style="5" customWidth="1"/>
    <col min="12" max="12" width="12.33203125" style="5" bestFit="1" customWidth="1"/>
    <col min="13" max="13" width="13.33203125" style="5" customWidth="1"/>
    <col min="14" max="14" width="12.33203125" style="5" customWidth="1"/>
    <col min="15" max="15" width="12.44140625" style="5" customWidth="1"/>
    <col min="16" max="16" width="13.5546875" style="5" customWidth="1"/>
    <col min="17" max="17" width="13.6640625" style="5" customWidth="1"/>
    <col min="18" max="16384" width="9.109375" style="5"/>
  </cols>
  <sheetData>
    <row r="1" spans="1:17" ht="21" x14ac:dyDescent="0.4">
      <c r="B1" s="71" t="s">
        <v>366</v>
      </c>
      <c r="C1" s="142"/>
    </row>
    <row r="3" spans="1:17" x14ac:dyDescent="0.3">
      <c r="B3" s="5" t="s">
        <v>254</v>
      </c>
    </row>
    <row r="4" spans="1:17" ht="16.2" x14ac:dyDescent="0.35">
      <c r="B4" s="5" t="s">
        <v>255</v>
      </c>
      <c r="C4" s="168">
        <v>0.5</v>
      </c>
    </row>
    <row r="5" spans="1:17" ht="16.2" x14ac:dyDescent="0.35">
      <c r="B5" s="5" t="s">
        <v>256</v>
      </c>
      <c r="C5" s="168">
        <v>0.5</v>
      </c>
    </row>
    <row r="6" spans="1:17" x14ac:dyDescent="0.3">
      <c r="C6" s="169"/>
    </row>
    <row r="7" spans="1:17" x14ac:dyDescent="0.3">
      <c r="B7" s="5" t="s">
        <v>257</v>
      </c>
      <c r="C7" s="170">
        <f>Drivers!C11</f>
        <v>4.3240000000000001E-2</v>
      </c>
    </row>
    <row r="8" spans="1:17" x14ac:dyDescent="0.3">
      <c r="C8" s="169"/>
    </row>
    <row r="9" spans="1:17" ht="16.2" x14ac:dyDescent="0.3">
      <c r="B9" s="265" t="s">
        <v>258</v>
      </c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</row>
    <row r="10" spans="1:17" ht="48.6" x14ac:dyDescent="0.3">
      <c r="B10" s="114" t="s">
        <v>200</v>
      </c>
      <c r="C10" s="19" t="s">
        <v>220</v>
      </c>
      <c r="D10" s="19" t="s">
        <v>221</v>
      </c>
      <c r="E10" s="19" t="s">
        <v>222</v>
      </c>
      <c r="F10" s="19" t="s">
        <v>223</v>
      </c>
      <c r="G10" s="19" t="s">
        <v>224</v>
      </c>
      <c r="H10" s="57" t="s">
        <v>225</v>
      </c>
      <c r="I10" s="57" t="s">
        <v>226</v>
      </c>
      <c r="J10" s="57" t="s">
        <v>227</v>
      </c>
      <c r="K10" s="57" t="s">
        <v>228</v>
      </c>
      <c r="L10" s="57" t="s">
        <v>229</v>
      </c>
      <c r="M10" s="57" t="s">
        <v>230</v>
      </c>
      <c r="N10" s="57" t="s">
        <v>231</v>
      </c>
      <c r="O10" s="57" t="s">
        <v>232</v>
      </c>
      <c r="P10" s="57" t="s">
        <v>233</v>
      </c>
      <c r="Q10" s="57" t="s">
        <v>234</v>
      </c>
    </row>
    <row r="11" spans="1:17" s="173" customFormat="1" x14ac:dyDescent="0.3">
      <c r="A11" s="5"/>
      <c r="B11" s="6" t="s">
        <v>96</v>
      </c>
      <c r="C11" s="171">
        <f>'Balance Sheet Input'!C29/1000</f>
        <v>2021.0930000000001</v>
      </c>
      <c r="D11" s="171">
        <f>'Balance Sheet Input'!D29/1000</f>
        <v>5860.049</v>
      </c>
      <c r="E11" s="171">
        <f>'Balance Sheet Input'!E29/1000</f>
        <v>9415.7000000000007</v>
      </c>
      <c r="F11" s="171">
        <f>'Balance Sheet Input'!F29/1000</f>
        <v>9403.6720000000005</v>
      </c>
      <c r="G11" s="171">
        <f>'Balance Sheet Input'!G29/1000</f>
        <v>11634</v>
      </c>
      <c r="H11" s="172">
        <f>G11+G19</f>
        <v>11634</v>
      </c>
      <c r="I11" s="172">
        <f>H11+H19</f>
        <v>11634</v>
      </c>
      <c r="J11" s="172">
        <f t="shared" ref="J11:Q11" si="0">I11+I19</f>
        <v>11634</v>
      </c>
      <c r="K11" s="172">
        <f t="shared" si="0"/>
        <v>11634</v>
      </c>
      <c r="L11" s="172">
        <f t="shared" si="0"/>
        <v>11634</v>
      </c>
      <c r="M11" s="172">
        <f t="shared" si="0"/>
        <v>11634</v>
      </c>
      <c r="N11" s="172">
        <f t="shared" si="0"/>
        <v>11634</v>
      </c>
      <c r="O11" s="172">
        <f t="shared" si="0"/>
        <v>11634</v>
      </c>
      <c r="P11" s="172">
        <f t="shared" si="0"/>
        <v>11634</v>
      </c>
      <c r="Q11" s="172">
        <f t="shared" si="0"/>
        <v>11634</v>
      </c>
    </row>
    <row r="12" spans="1:17" s="173" customFormat="1" x14ac:dyDescent="0.3">
      <c r="A12" s="5"/>
      <c r="B12" s="5" t="str">
        <f>'[1]P&amp;L Input'!B17</f>
        <v>Interest expense</v>
      </c>
      <c r="C12" s="171">
        <f>'P&amp;L Input'!C17/1000</f>
        <v>-118.851</v>
      </c>
      <c r="D12" s="171">
        <f>'P&amp;L Input'!D17/1000</f>
        <v>-198.81</v>
      </c>
      <c r="E12" s="171">
        <f>'P&amp;L Input'!E17/1000</f>
        <v>-471.25900000000001</v>
      </c>
      <c r="F12" s="171">
        <f>'P&amp;L Input'!F17/1000</f>
        <v>-663.07100000000003</v>
      </c>
      <c r="G12" s="171">
        <f>'P&amp;L Input'!G17/1000</f>
        <v>-685</v>
      </c>
      <c r="H12" s="174">
        <f>-G11*H13</f>
        <v>-503.05416000000002</v>
      </c>
      <c r="I12" s="174">
        <f t="shared" ref="I12:Q12" si="1">-H11*I13</f>
        <v>-503.05416000000002</v>
      </c>
      <c r="J12" s="174">
        <f t="shared" si="1"/>
        <v>-503.05416000000002</v>
      </c>
      <c r="K12" s="174">
        <f t="shared" si="1"/>
        <v>-503.05416000000002</v>
      </c>
      <c r="L12" s="174">
        <f t="shared" si="1"/>
        <v>-503.05416000000002</v>
      </c>
      <c r="M12" s="174">
        <f t="shared" si="1"/>
        <v>-503.05416000000002</v>
      </c>
      <c r="N12" s="174">
        <f t="shared" si="1"/>
        <v>-503.05416000000002</v>
      </c>
      <c r="O12" s="174">
        <f t="shared" si="1"/>
        <v>-503.05416000000002</v>
      </c>
      <c r="P12" s="174">
        <f t="shared" si="1"/>
        <v>-503.05416000000002</v>
      </c>
      <c r="Q12" s="174">
        <f t="shared" si="1"/>
        <v>-503.05416000000002</v>
      </c>
    </row>
    <row r="13" spans="1:17" x14ac:dyDescent="0.3">
      <c r="B13" s="5" t="s">
        <v>259</v>
      </c>
      <c r="C13" s="175">
        <f>C12/C11</f>
        <v>-5.8805309800192267E-2</v>
      </c>
      <c r="D13" s="175">
        <f t="shared" ref="D13:G13" si="2">D12/D11</f>
        <v>-3.3926337476017691E-2</v>
      </c>
      <c r="E13" s="175">
        <f t="shared" si="2"/>
        <v>-5.0050341450980806E-2</v>
      </c>
      <c r="F13" s="175">
        <f t="shared" si="2"/>
        <v>-7.0511923427359013E-2</v>
      </c>
      <c r="G13" s="175">
        <f t="shared" si="2"/>
        <v>-5.887914732680076E-2</v>
      </c>
      <c r="H13" s="176">
        <f t="shared" ref="H13:Q13" si="3">$C$7</f>
        <v>4.3240000000000001E-2</v>
      </c>
      <c r="I13" s="176">
        <f t="shared" si="3"/>
        <v>4.3240000000000001E-2</v>
      </c>
      <c r="J13" s="176">
        <f t="shared" si="3"/>
        <v>4.3240000000000001E-2</v>
      </c>
      <c r="K13" s="176">
        <f t="shared" si="3"/>
        <v>4.3240000000000001E-2</v>
      </c>
      <c r="L13" s="176">
        <f t="shared" si="3"/>
        <v>4.3240000000000001E-2</v>
      </c>
      <c r="M13" s="176">
        <f t="shared" si="3"/>
        <v>4.3240000000000001E-2</v>
      </c>
      <c r="N13" s="176">
        <f t="shared" si="3"/>
        <v>4.3240000000000001E-2</v>
      </c>
      <c r="O13" s="176">
        <f t="shared" si="3"/>
        <v>4.3240000000000001E-2</v>
      </c>
      <c r="P13" s="176">
        <f t="shared" si="3"/>
        <v>4.3240000000000001E-2</v>
      </c>
      <c r="Q13" s="176">
        <f t="shared" si="3"/>
        <v>4.3240000000000001E-2</v>
      </c>
    </row>
    <row r="14" spans="1:17" x14ac:dyDescent="0.3">
      <c r="C14" s="175"/>
      <c r="D14" s="175"/>
      <c r="E14" s="175"/>
      <c r="F14" s="175"/>
      <c r="G14" s="175"/>
      <c r="H14" s="170"/>
      <c r="I14" s="170"/>
      <c r="J14" s="170"/>
      <c r="K14" s="170"/>
      <c r="L14" s="170"/>
    </row>
    <row r="15" spans="1:17" x14ac:dyDescent="0.3">
      <c r="C15" s="175"/>
      <c r="D15" s="175"/>
      <c r="E15" s="175"/>
      <c r="F15" s="175"/>
      <c r="G15" s="175"/>
      <c r="H15" s="170"/>
      <c r="I15" s="170"/>
      <c r="J15" s="170"/>
      <c r="K15" s="170"/>
      <c r="L15" s="170"/>
    </row>
    <row r="16" spans="1:17" ht="16.2" x14ac:dyDescent="0.3">
      <c r="B16" s="265" t="s">
        <v>260</v>
      </c>
      <c r="C16" s="265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</row>
    <row r="17" spans="2:17" ht="32.4" x14ac:dyDescent="0.3">
      <c r="C17" s="19" t="s">
        <v>17</v>
      </c>
      <c r="D17" s="19" t="s">
        <v>18</v>
      </c>
      <c r="E17" s="19" t="s">
        <v>17</v>
      </c>
      <c r="F17" s="19" t="s">
        <v>18</v>
      </c>
      <c r="G17" s="19" t="s">
        <v>17</v>
      </c>
      <c r="H17" s="19" t="s">
        <v>18</v>
      </c>
      <c r="I17" s="19" t="s">
        <v>17</v>
      </c>
      <c r="J17" s="19" t="s">
        <v>18</v>
      </c>
      <c r="K17" s="19" t="s">
        <v>17</v>
      </c>
      <c r="L17" s="19" t="s">
        <v>18</v>
      </c>
      <c r="M17" s="19" t="s">
        <v>17</v>
      </c>
      <c r="N17" s="19" t="s">
        <v>18</v>
      </c>
      <c r="O17" s="19" t="s">
        <v>17</v>
      </c>
      <c r="P17" s="19" t="s">
        <v>18</v>
      </c>
      <c r="Q17" s="19" t="s">
        <v>17</v>
      </c>
    </row>
    <row r="18" spans="2:17" ht="16.2" x14ac:dyDescent="0.35">
      <c r="B18" s="177" t="s">
        <v>261</v>
      </c>
      <c r="C18" s="177"/>
      <c r="D18" s="177"/>
      <c r="E18" s="177"/>
      <c r="F18" s="177"/>
      <c r="G18" s="178"/>
      <c r="H18" s="179">
        <f>'Cash Flow '!H20</f>
        <v>5085.2111111532922</v>
      </c>
      <c r="I18" s="179">
        <f>'Cash Flow '!I20</f>
        <v>5828.0578721876427</v>
      </c>
      <c r="J18" s="179">
        <f>'Cash Flow '!J20</f>
        <v>8342.5964321073188</v>
      </c>
      <c r="K18" s="179">
        <f>'Cash Flow '!K20</f>
        <v>9960.3508050763448</v>
      </c>
      <c r="L18" s="179">
        <f>'Cash Flow '!L20</f>
        <v>9289.3303894887085</v>
      </c>
      <c r="M18" s="179">
        <f>'Cash Flow '!M20</f>
        <v>8587.4273613301375</v>
      </c>
      <c r="N18" s="179">
        <f>'Cash Flow '!N20</f>
        <v>9195.6060303240029</v>
      </c>
      <c r="O18" s="179">
        <f>'Cash Flow '!O20</f>
        <v>9902.3811414671563</v>
      </c>
      <c r="P18" s="179">
        <f>'Cash Flow '!P20</f>
        <v>10294.971892342954</v>
      </c>
      <c r="Q18" s="179">
        <f>'Cash Flow '!Q20</f>
        <v>9732.0359521610517</v>
      </c>
    </row>
    <row r="19" spans="2:17" x14ac:dyDescent="0.3">
      <c r="B19" s="5" t="s">
        <v>255</v>
      </c>
      <c r="G19" s="173"/>
      <c r="H19" s="172">
        <f>IF(H$18&lt;0,-H$18*$C4,0)</f>
        <v>0</v>
      </c>
      <c r="I19" s="172">
        <f t="shared" ref="I19:N19" si="4">IF(I$18&lt;0,-I$18*$C4,0)</f>
        <v>0</v>
      </c>
      <c r="J19" s="172">
        <f t="shared" si="4"/>
        <v>0</v>
      </c>
      <c r="K19" s="172">
        <f t="shared" si="4"/>
        <v>0</v>
      </c>
      <c r="L19" s="172">
        <f t="shared" si="4"/>
        <v>0</v>
      </c>
      <c r="M19" s="172">
        <f t="shared" si="4"/>
        <v>0</v>
      </c>
      <c r="N19" s="172">
        <f t="shared" si="4"/>
        <v>0</v>
      </c>
      <c r="O19" s="172">
        <f>IF(O$18&lt;0,-O$18*$C4,0)</f>
        <v>0</v>
      </c>
      <c r="P19" s="172">
        <f t="shared" ref="P19:Q19" si="5">IF(P$18&lt;0,-P$18*$C4,0)</f>
        <v>0</v>
      </c>
      <c r="Q19" s="172">
        <f t="shared" si="5"/>
        <v>0</v>
      </c>
    </row>
    <row r="20" spans="2:17" x14ac:dyDescent="0.3">
      <c r="B20" s="5" t="s">
        <v>256</v>
      </c>
      <c r="G20" s="173"/>
      <c r="H20" s="172">
        <f>IF(H$18&lt;0,-H$18*$C5,0)</f>
        <v>0</v>
      </c>
      <c r="I20" s="172">
        <f t="shared" ref="I20:N20" si="6">IF(I$18&lt;0,-I$18*$C5,0)</f>
        <v>0</v>
      </c>
      <c r="J20" s="172">
        <f t="shared" si="6"/>
        <v>0</v>
      </c>
      <c r="K20" s="172">
        <f t="shared" si="6"/>
        <v>0</v>
      </c>
      <c r="L20" s="172">
        <f t="shared" si="6"/>
        <v>0</v>
      </c>
      <c r="M20" s="172">
        <f t="shared" si="6"/>
        <v>0</v>
      </c>
      <c r="N20" s="172">
        <f t="shared" si="6"/>
        <v>0</v>
      </c>
      <c r="O20" s="172">
        <f>IF(O$18&lt;0,-O$18*$C5,0)</f>
        <v>0</v>
      </c>
      <c r="P20" s="172">
        <f t="shared" ref="P20:Q20" si="7">IF(P$18&lt;0,-P$18*$C5,0)</f>
        <v>0</v>
      </c>
      <c r="Q20" s="172">
        <f t="shared" si="7"/>
        <v>0</v>
      </c>
    </row>
  </sheetData>
  <mergeCells count="2">
    <mergeCell ref="B9:Q9"/>
    <mergeCell ref="B16:Q16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366D-C995-4A81-A5A9-3AF3E909FF3A}">
  <sheetPr>
    <tabColor rgb="FF002060"/>
  </sheetPr>
  <dimension ref="B13"/>
  <sheetViews>
    <sheetView showGridLines="0" workbookViewId="0"/>
  </sheetViews>
  <sheetFormatPr defaultRowHeight="14.4" x14ac:dyDescent="0.3"/>
  <sheetData>
    <row r="13" spans="2:2" ht="61.8" x14ac:dyDescent="1.1499999999999999">
      <c r="B13" s="41" t="s">
        <v>367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C995-91FC-47B6-9302-91E8EE12F54B}">
  <dimension ref="B1:Q18"/>
  <sheetViews>
    <sheetView workbookViewId="0">
      <selection activeCell="G19" sqref="G19"/>
    </sheetView>
  </sheetViews>
  <sheetFormatPr defaultColWidth="9.109375" defaultRowHeight="15.6" x14ac:dyDescent="0.3"/>
  <cols>
    <col min="1" max="1" width="3.77734375" style="5" customWidth="1"/>
    <col min="2" max="2" width="22.44140625" style="5" bestFit="1" customWidth="1"/>
    <col min="3" max="11" width="9.6640625" style="5" customWidth="1"/>
    <col min="12" max="12" width="10.109375" style="5" bestFit="1" customWidth="1"/>
    <col min="13" max="15" width="11.21875" style="5" bestFit="1" customWidth="1"/>
    <col min="16" max="17" width="12" style="5" bestFit="1" customWidth="1"/>
    <col min="18" max="16384" width="9.109375" style="5"/>
  </cols>
  <sheetData>
    <row r="1" spans="2:17" ht="21" x14ac:dyDescent="0.4">
      <c r="B1" s="71" t="s">
        <v>368</v>
      </c>
      <c r="C1" s="142"/>
    </row>
    <row r="3" spans="2:17" ht="16.2" x14ac:dyDescent="0.3">
      <c r="B3" s="265" t="s">
        <v>273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</row>
    <row r="4" spans="2:17" ht="32.4" x14ac:dyDescent="0.3">
      <c r="B4" s="114" t="s">
        <v>200</v>
      </c>
      <c r="C4" s="19" t="s">
        <v>17</v>
      </c>
      <c r="D4" s="19" t="s">
        <v>18</v>
      </c>
      <c r="E4" s="19" t="s">
        <v>19</v>
      </c>
      <c r="F4" s="19" t="s">
        <v>20</v>
      </c>
      <c r="G4" s="19" t="s">
        <v>21</v>
      </c>
      <c r="H4" s="57" t="s">
        <v>104</v>
      </c>
      <c r="I4" s="57" t="s">
        <v>105</v>
      </c>
      <c r="J4" s="57" t="s">
        <v>106</v>
      </c>
      <c r="K4" s="57" t="s">
        <v>107</v>
      </c>
      <c r="L4" s="57" t="s">
        <v>108</v>
      </c>
      <c r="M4" s="57" t="s">
        <v>109</v>
      </c>
      <c r="N4" s="57" t="s">
        <v>110</v>
      </c>
      <c r="O4" s="57" t="s">
        <v>111</v>
      </c>
      <c r="P4" s="57" t="s">
        <v>112</v>
      </c>
      <c r="Q4" s="57" t="s">
        <v>113</v>
      </c>
    </row>
    <row r="5" spans="2:17" x14ac:dyDescent="0.3">
      <c r="B5" s="5" t="s">
        <v>215</v>
      </c>
      <c r="C5" s="146">
        <f>'Tesla Revenue Automotive'!C11+'Revenue Energy, service &amp; Other'!C7</f>
        <v>4046.0250000000001</v>
      </c>
      <c r="D5" s="146">
        <f>'Tesla Revenue Automotive'!D11+'Revenue Energy, service &amp; Other'!D7</f>
        <v>7000.1319999999996</v>
      </c>
      <c r="E5" s="146">
        <f>'Tesla Revenue Automotive'!E11+'Revenue Energy, service &amp; Other'!E7</f>
        <v>11758.751</v>
      </c>
      <c r="F5" s="146">
        <f>'Tesla Revenue Automotive'!F11+'Revenue Energy, service &amp; Other'!F7</f>
        <v>21461.267999999996</v>
      </c>
      <c r="G5" s="146">
        <f>'Tesla Revenue Automotive'!G11+'Revenue Energy, service &amp; Other'!G7</f>
        <v>24578</v>
      </c>
      <c r="H5" s="152">
        <f>'Tesla Revenue Automotive'!H11+'Revenue Energy, service &amp; Other'!H7</f>
        <v>38391.95310862</v>
      </c>
      <c r="I5" s="152">
        <f>'Tesla Revenue Automotive'!I11+'Revenue Energy, service &amp; Other'!I7</f>
        <v>51006.612211716805</v>
      </c>
      <c r="J5" s="152">
        <f>'Tesla Revenue Automotive'!J11+'Revenue Energy, service &amp; Other'!J7</f>
        <v>69356.386011189825</v>
      </c>
      <c r="K5" s="152">
        <f>'Tesla Revenue Automotive'!K11+'Revenue Energy, service &amp; Other'!K7</f>
        <v>89259.573600490941</v>
      </c>
      <c r="L5" s="152">
        <f>'Tesla Revenue Automotive'!L11+'Revenue Energy, service &amp; Other'!L7</f>
        <v>102050.01065551401</v>
      </c>
      <c r="M5" s="152">
        <f>'Tesla Revenue Automotive'!M11+'Revenue Energy, service &amp; Other'!M7</f>
        <v>109367.26777153785</v>
      </c>
      <c r="N5" s="152">
        <f>'Tesla Revenue Automotive'!N11+'Revenue Energy, service &amp; Other'!N7</f>
        <v>116570.75443181407</v>
      </c>
      <c r="O5" s="152">
        <f>'Tesla Revenue Automotive'!O11+'Revenue Energy, service &amp; Other'!O7</f>
        <v>123909.25721540475</v>
      </c>
      <c r="P5" s="152">
        <f>'Tesla Revenue Automotive'!P11+'Revenue Energy, service &amp; Other'!P7</f>
        <v>130064.74813514538</v>
      </c>
      <c r="Q5" s="152">
        <f>'Tesla Revenue Automotive'!Q11+'Revenue Energy, service &amp; Other'!Q7</f>
        <v>135626.19595270083</v>
      </c>
    </row>
    <row r="6" spans="2:17" x14ac:dyDescent="0.3">
      <c r="B6" s="5" t="s">
        <v>274</v>
      </c>
      <c r="C6" s="146">
        <f>'Tesla Cost of sales Automotive'!C11+'COGS Energy, Services &amp; Other'!C7</f>
        <v>-3122.5219999999999</v>
      </c>
      <c r="D6" s="146">
        <f>'Tesla Cost of sales Automotive'!D11+'COGS Energy, Services &amp; Other'!D7</f>
        <v>-5400.875</v>
      </c>
      <c r="E6" s="146">
        <f>'Tesla Cost of sales Automotive'!E11+'COGS Energy, Services &amp; Other'!E7</f>
        <v>-9536.2639999999992</v>
      </c>
      <c r="F6" s="146">
        <f>'Tesla Cost of sales Automotive'!F11+'COGS Energy, Services &amp; Other'!F7</f>
        <v>-17419.246999999999</v>
      </c>
      <c r="G6" s="146">
        <f>'Tesla Cost of sales Automotive'!G11+'COGS Energy, Services &amp; Other'!G7</f>
        <v>-20509</v>
      </c>
      <c r="H6" s="152">
        <f>'Tesla Cost of sales Automotive'!H11+'COGS Energy, Services &amp; Other'!H7</f>
        <v>-30229.815954252954</v>
      </c>
      <c r="I6" s="152">
        <f>'Tesla Cost of sales Automotive'!I11+'COGS Energy, Services &amp; Other'!I7</f>
        <v>-40578.179882665063</v>
      </c>
      <c r="J6" s="152">
        <f>'Tesla Cost of sales Automotive'!J11+'COGS Energy, Services &amp; Other'!J7</f>
        <v>-55444.657930259003</v>
      </c>
      <c r="K6" s="152">
        <f>'Tesla Cost of sales Automotive'!K11+'COGS Energy, Services &amp; Other'!K7</f>
        <v>-71599.540552073988</v>
      </c>
      <c r="L6" s="152">
        <f>'Tesla Cost of sales Automotive'!L11+'COGS Energy, Services &amp; Other'!L7</f>
        <v>-81821.979487725446</v>
      </c>
      <c r="M6" s="152">
        <f>'Tesla Cost of sales Automotive'!M11+'COGS Energy, Services &amp; Other'!M7</f>
        <v>-87776.188756046904</v>
      </c>
      <c r="N6" s="152">
        <f>'Tesla Cost of sales Automotive'!N11+'COGS Energy, Services &amp; Other'!N7</f>
        <v>-93631.045042501559</v>
      </c>
      <c r="O6" s="152">
        <f>'Tesla Cost of sales Automotive'!O11+'COGS Energy, Services &amp; Other'!O7</f>
        <v>-99608.196640977607</v>
      </c>
      <c r="P6" s="152">
        <f>'Tesla Cost of sales Automotive'!P11+'COGS Energy, Services &amp; Other'!P7</f>
        <v>-104602.17697450724</v>
      </c>
      <c r="Q6" s="152">
        <f>'Tesla Cost of sales Automotive'!Q11+'COGS Energy, Services &amp; Other'!Q7</f>
        <v>-109137.94478779417</v>
      </c>
    </row>
    <row r="7" spans="2:17" ht="16.2" x14ac:dyDescent="0.35">
      <c r="B7" s="180" t="s">
        <v>29</v>
      </c>
      <c r="C7" s="181">
        <f>SUM(C5:C6)</f>
        <v>923.50300000000016</v>
      </c>
      <c r="D7" s="181">
        <f t="shared" ref="D7:Q7" si="0">SUM(D5:D6)</f>
        <v>1599.2569999999996</v>
      </c>
      <c r="E7" s="181">
        <f t="shared" si="0"/>
        <v>2222.487000000001</v>
      </c>
      <c r="F7" s="181">
        <f t="shared" si="0"/>
        <v>4042.020999999997</v>
      </c>
      <c r="G7" s="181">
        <f t="shared" si="0"/>
        <v>4069</v>
      </c>
      <c r="H7" s="184">
        <f t="shared" si="0"/>
        <v>8162.1371543670466</v>
      </c>
      <c r="I7" s="184">
        <f t="shared" si="0"/>
        <v>10428.432329051742</v>
      </c>
      <c r="J7" s="184">
        <f t="shared" si="0"/>
        <v>13911.728080930821</v>
      </c>
      <c r="K7" s="184">
        <f t="shared" si="0"/>
        <v>17660.033048416954</v>
      </c>
      <c r="L7" s="184">
        <f t="shared" si="0"/>
        <v>20228.031167788562</v>
      </c>
      <c r="M7" s="184">
        <f t="shared" si="0"/>
        <v>21591.079015490948</v>
      </c>
      <c r="N7" s="184">
        <f t="shared" si="0"/>
        <v>22939.709389312513</v>
      </c>
      <c r="O7" s="184">
        <f t="shared" si="0"/>
        <v>24301.060574427145</v>
      </c>
      <c r="P7" s="184">
        <f t="shared" si="0"/>
        <v>25462.571160638137</v>
      </c>
      <c r="Q7" s="184">
        <f t="shared" si="0"/>
        <v>26488.251164906658</v>
      </c>
    </row>
    <row r="8" spans="2:17" x14ac:dyDescent="0.3">
      <c r="B8" s="5" t="s">
        <v>275</v>
      </c>
      <c r="C8" s="146">
        <f>'Tesla Opex'!C7</f>
        <v>-1640.1320000000001</v>
      </c>
      <c r="D8" s="146">
        <f>'Tesla Opex'!D7</f>
        <v>-2266.5970000000002</v>
      </c>
      <c r="E8" s="146">
        <f>'Tesla Opex'!E7</f>
        <v>-3854.5729999999999</v>
      </c>
      <c r="F8" s="146">
        <f>'Tesla Opex'!F7</f>
        <v>-4430.0940000000001</v>
      </c>
      <c r="G8" s="146">
        <f>'Tesla Opex'!G7</f>
        <v>-4138</v>
      </c>
      <c r="H8" s="152">
        <f>'Tesla Opex'!H7</f>
        <v>-4480.5231286380895</v>
      </c>
      <c r="I8" s="152">
        <f>'Tesla Opex'!I7</f>
        <v>-5952.71371272744</v>
      </c>
      <c r="J8" s="152">
        <f>'Tesla Opex'!J7</f>
        <v>-8094.2193996406786</v>
      </c>
      <c r="K8" s="152">
        <f>'Tesla Opex'!K7</f>
        <v>-10417.015848031415</v>
      </c>
      <c r="L8" s="152">
        <f>'Tesla Opex'!L7</f>
        <v>-11909.720553319081</v>
      </c>
      <c r="M8" s="152">
        <f>'Tesla Opex'!M7</f>
        <v>-12763.679185060984</v>
      </c>
      <c r="N8" s="152">
        <f>'Tesla Opex'!N7</f>
        <v>-13604.36026468433</v>
      </c>
      <c r="O8" s="152">
        <f>'Tesla Opex'!O7</f>
        <v>-14460.798366659157</v>
      </c>
      <c r="P8" s="152">
        <f>'Tesla Opex'!P7</f>
        <v>-15179.173369774777</v>
      </c>
      <c r="Q8" s="152">
        <f>'Tesla Opex'!Q7</f>
        <v>-15828.220723650509</v>
      </c>
    </row>
    <row r="9" spans="2:17" ht="16.2" x14ac:dyDescent="0.35">
      <c r="B9" s="180" t="s">
        <v>33</v>
      </c>
      <c r="C9" s="181">
        <f>SUM(C7:C8)</f>
        <v>-716.62899999999991</v>
      </c>
      <c r="D9" s="181">
        <f t="shared" ref="D9:Q9" si="1">SUM(D7:D8)</f>
        <v>-667.3400000000006</v>
      </c>
      <c r="E9" s="181">
        <f t="shared" si="1"/>
        <v>-1632.0859999999989</v>
      </c>
      <c r="F9" s="181">
        <f t="shared" si="1"/>
        <v>-388.07300000000305</v>
      </c>
      <c r="G9" s="181">
        <f t="shared" si="1"/>
        <v>-69</v>
      </c>
      <c r="H9" s="184">
        <f t="shared" si="1"/>
        <v>3681.6140257289571</v>
      </c>
      <c r="I9" s="184">
        <f t="shared" si="1"/>
        <v>4475.7186163243023</v>
      </c>
      <c r="J9" s="184">
        <f t="shared" si="1"/>
        <v>5817.5086812901427</v>
      </c>
      <c r="K9" s="184">
        <f t="shared" si="1"/>
        <v>7243.0172003855387</v>
      </c>
      <c r="L9" s="184">
        <f t="shared" si="1"/>
        <v>8318.3106144694812</v>
      </c>
      <c r="M9" s="184">
        <f t="shared" si="1"/>
        <v>8827.3998304299639</v>
      </c>
      <c r="N9" s="184">
        <f t="shared" si="1"/>
        <v>9335.3491246281828</v>
      </c>
      <c r="O9" s="184">
        <f t="shared" si="1"/>
        <v>9840.262207767988</v>
      </c>
      <c r="P9" s="184">
        <f t="shared" si="1"/>
        <v>10283.397790863361</v>
      </c>
      <c r="Q9" s="184">
        <f t="shared" si="1"/>
        <v>10660.030441256149</v>
      </c>
    </row>
    <row r="10" spans="2:17" x14ac:dyDescent="0.3">
      <c r="B10" s="5" t="s">
        <v>276</v>
      </c>
      <c r="C10" s="146">
        <f>'Tesla Financing '!C12+('P&amp;L Input'!C16+'P&amp;L Input'!C18)/1000</f>
        <v>-158.995</v>
      </c>
      <c r="D10" s="146">
        <f>'Tesla Financing '!D12+('P&amp;L Input'!D16+'P&amp;L Input'!D18)/1000</f>
        <v>-79.007999999999996</v>
      </c>
      <c r="E10" s="146">
        <f>'Tesla Financing '!E12+('P&amp;L Input'!E16+'P&amp;L Input'!E18)/1000</f>
        <v>-576.94600000000003</v>
      </c>
      <c r="F10" s="146">
        <f>'Tesla Financing '!F12+('P&amp;L Input'!F16+'P&amp;L Input'!F18)/1000</f>
        <v>-616.67200000000003</v>
      </c>
      <c r="G10" s="146">
        <f>'Tesla Financing '!G12+('P&amp;L Input'!G16+'P&amp;L Input'!G18)/1000</f>
        <v>-596</v>
      </c>
      <c r="H10" s="185">
        <f>'Tesla Financing '!H12</f>
        <v>-503.05416000000002</v>
      </c>
      <c r="I10" s="185">
        <f>'Tesla Financing '!I12</f>
        <v>-503.05416000000002</v>
      </c>
      <c r="J10" s="185">
        <f>'Tesla Financing '!J12</f>
        <v>-503.05416000000002</v>
      </c>
      <c r="K10" s="185">
        <f>'Tesla Financing '!K12</f>
        <v>-503.05416000000002</v>
      </c>
      <c r="L10" s="185">
        <f>'Tesla Financing '!L12</f>
        <v>-503.05416000000002</v>
      </c>
      <c r="M10" s="185">
        <f>'Tesla Financing '!M12</f>
        <v>-503.05416000000002</v>
      </c>
      <c r="N10" s="185">
        <f>'Tesla Financing '!N12</f>
        <v>-503.05416000000002</v>
      </c>
      <c r="O10" s="185">
        <f>'Tesla Financing '!O12</f>
        <v>-503.05416000000002</v>
      </c>
      <c r="P10" s="185">
        <f>'Tesla Financing '!P12</f>
        <v>-503.05416000000002</v>
      </c>
      <c r="Q10" s="185">
        <f>'Tesla Financing '!Q12</f>
        <v>-503.05416000000002</v>
      </c>
    </row>
    <row r="11" spans="2:17" ht="16.2" x14ac:dyDescent="0.35">
      <c r="B11" s="180" t="s">
        <v>37</v>
      </c>
      <c r="C11" s="182">
        <f t="shared" ref="C11:G11" si="2">SUM(C9:C10)</f>
        <v>-875.62399999999991</v>
      </c>
      <c r="D11" s="182">
        <f t="shared" si="2"/>
        <v>-746.34800000000064</v>
      </c>
      <c r="E11" s="182">
        <f t="shared" si="2"/>
        <v>-2209.0319999999988</v>
      </c>
      <c r="F11" s="182">
        <f t="shared" si="2"/>
        <v>-1004.7450000000031</v>
      </c>
      <c r="G11" s="182">
        <f t="shared" si="2"/>
        <v>-665</v>
      </c>
      <c r="H11" s="186">
        <f>SUM(H9:H10)</f>
        <v>3178.559865728957</v>
      </c>
      <c r="I11" s="186">
        <f t="shared" ref="I11:Q11" si="3">SUM(I9:I10)</f>
        <v>3972.6644563243021</v>
      </c>
      <c r="J11" s="186">
        <f t="shared" si="3"/>
        <v>5314.454521290143</v>
      </c>
      <c r="K11" s="186">
        <f t="shared" si="3"/>
        <v>6739.963040385539</v>
      </c>
      <c r="L11" s="186">
        <f t="shared" si="3"/>
        <v>7815.2564544694815</v>
      </c>
      <c r="M11" s="186">
        <f t="shared" si="3"/>
        <v>8324.3456704299642</v>
      </c>
      <c r="N11" s="186">
        <f t="shared" si="3"/>
        <v>8832.2949646281832</v>
      </c>
      <c r="O11" s="186">
        <f t="shared" si="3"/>
        <v>9337.2080477679883</v>
      </c>
      <c r="P11" s="186">
        <f t="shared" si="3"/>
        <v>9780.3436308633609</v>
      </c>
      <c r="Q11" s="186">
        <f t="shared" si="3"/>
        <v>10156.976281256149</v>
      </c>
    </row>
    <row r="12" spans="2:17" x14ac:dyDescent="0.3">
      <c r="B12" s="5" t="s">
        <v>277</v>
      </c>
      <c r="C12" s="146">
        <f>'P&amp;L Input'!C20/1000</f>
        <v>-13.039</v>
      </c>
      <c r="D12" s="146">
        <f>'P&amp;L Input'!D20/1000</f>
        <v>-26.698</v>
      </c>
      <c r="E12" s="146">
        <f>'P&amp;L Input'!E20/1000</f>
        <v>-31.545999999999999</v>
      </c>
      <c r="F12" s="146">
        <f>'P&amp;L Input'!F20/1000</f>
        <v>-57.837000000000003</v>
      </c>
      <c r="G12" s="146">
        <f>'P&amp;L Input'!G20/1000</f>
        <v>-110</v>
      </c>
      <c r="H12" s="152">
        <f>-H11*Drivers!$C$12</f>
        <v>-667.49757180308097</v>
      </c>
      <c r="I12" s="152">
        <f>-I11*Drivers!$C$12</f>
        <v>-834.25953582810337</v>
      </c>
      <c r="J12" s="152">
        <f>-J11*Drivers!$C$12</f>
        <v>-1116.03544947093</v>
      </c>
      <c r="K12" s="152">
        <f>-K11*Drivers!$C$12</f>
        <v>-1415.3922384809632</v>
      </c>
      <c r="L12" s="152">
        <f>-L11*Drivers!$C$12</f>
        <v>-1641.2038554385911</v>
      </c>
      <c r="M12" s="152">
        <f>-M11*Drivers!$C$12</f>
        <v>-1748.1125907902924</v>
      </c>
      <c r="N12" s="152">
        <f>-N11*Drivers!$C$12</f>
        <v>-1854.7819425719183</v>
      </c>
      <c r="O12" s="152">
        <f>-O11*Drivers!$C$12</f>
        <v>-1960.8136900312775</v>
      </c>
      <c r="P12" s="152">
        <f>-P11*Drivers!$C$12</f>
        <v>-2053.8721624813056</v>
      </c>
      <c r="Q12" s="152">
        <f>-Q11*Drivers!$C$12</f>
        <v>-2132.9650190637913</v>
      </c>
    </row>
    <row r="13" spans="2:17" x14ac:dyDescent="0.3">
      <c r="B13" s="5" t="s">
        <v>278</v>
      </c>
      <c r="C13" s="146">
        <f>'P&amp;L Input'!C22/1000</f>
        <v>0</v>
      </c>
      <c r="D13" s="146">
        <f>'P&amp;L Input'!D22/1000</f>
        <v>98.132000000000005</v>
      </c>
      <c r="E13" s="146">
        <f>'P&amp;L Input'!E22/1000</f>
        <v>279.178</v>
      </c>
      <c r="F13" s="146">
        <f>'P&amp;L Input'!F22/1000</f>
        <v>86.491</v>
      </c>
      <c r="G13" s="146">
        <f>'P&amp;L Input'!G22/1000</f>
        <v>-87</v>
      </c>
      <c r="H13" s="152">
        <v>0</v>
      </c>
      <c r="I13" s="152">
        <v>0</v>
      </c>
      <c r="J13" s="152">
        <v>0</v>
      </c>
      <c r="K13" s="152">
        <v>0</v>
      </c>
      <c r="L13" s="152">
        <v>0</v>
      </c>
      <c r="M13" s="152">
        <v>0</v>
      </c>
      <c r="N13" s="152">
        <v>0</v>
      </c>
      <c r="O13" s="152">
        <v>0</v>
      </c>
      <c r="P13" s="152">
        <v>0</v>
      </c>
      <c r="Q13" s="152">
        <v>0</v>
      </c>
    </row>
    <row r="14" spans="2:17" ht="16.8" thickBot="1" x14ac:dyDescent="0.4">
      <c r="B14" s="60" t="s">
        <v>279</v>
      </c>
      <c r="C14" s="61">
        <f>SUM(C11:C13)</f>
        <v>-888.6629999999999</v>
      </c>
      <c r="D14" s="61">
        <f>SUM(D11:D13)</f>
        <v>-674.91400000000067</v>
      </c>
      <c r="E14" s="61">
        <f t="shared" ref="E14:G14" si="4">SUM(E11:E13)</f>
        <v>-1961.3999999999987</v>
      </c>
      <c r="F14" s="61">
        <f t="shared" si="4"/>
        <v>-976.09100000000308</v>
      </c>
      <c r="G14" s="61">
        <f t="shared" si="4"/>
        <v>-862</v>
      </c>
      <c r="H14" s="132">
        <f>SUM(H11:H12)</f>
        <v>2511.062293925876</v>
      </c>
      <c r="I14" s="132">
        <f t="shared" ref="I14:Q14" si="5">SUM(I11:I12)</f>
        <v>3138.4049204961989</v>
      </c>
      <c r="J14" s="132">
        <f t="shared" si="5"/>
        <v>4198.4190718192131</v>
      </c>
      <c r="K14" s="132">
        <f t="shared" si="5"/>
        <v>5324.570801904576</v>
      </c>
      <c r="L14" s="132">
        <f t="shared" si="5"/>
        <v>6174.0525990308906</v>
      </c>
      <c r="M14" s="132">
        <f t="shared" si="5"/>
        <v>6576.2330796396718</v>
      </c>
      <c r="N14" s="132">
        <f t="shared" si="5"/>
        <v>6977.5130220562651</v>
      </c>
      <c r="O14" s="132">
        <f t="shared" si="5"/>
        <v>7376.3943577367108</v>
      </c>
      <c r="P14" s="132">
        <f t="shared" si="5"/>
        <v>7726.4714683820548</v>
      </c>
      <c r="Q14" s="132">
        <f t="shared" si="5"/>
        <v>8024.0112621923581</v>
      </c>
    </row>
    <row r="15" spans="2:17" x14ac:dyDescent="0.3">
      <c r="C15" s="183"/>
    </row>
    <row r="16" spans="2:17" ht="16.2" x14ac:dyDescent="0.35">
      <c r="B16" s="32" t="s">
        <v>280</v>
      </c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</row>
    <row r="17" spans="2:17" x14ac:dyDescent="0.3">
      <c r="B17" s="187" t="s">
        <v>281</v>
      </c>
      <c r="C17" s="188">
        <f>'P&amp;L Input'!C23/1000</f>
        <v>-888.66300000000001</v>
      </c>
      <c r="D17" s="188">
        <f>'P&amp;L Input'!D23/1000</f>
        <v>-674.91399999999999</v>
      </c>
      <c r="E17" s="188">
        <f>'P&amp;L Input'!E23/1000</f>
        <v>-1961.4</v>
      </c>
      <c r="F17" s="188">
        <f>'P&amp;L Input'!F23/1000</f>
        <v>-976.09100000000001</v>
      </c>
      <c r="G17" s="188">
        <f>'P&amp;L Input'!G23/1000</f>
        <v>-862</v>
      </c>
      <c r="H17" s="187"/>
      <c r="I17" s="187"/>
      <c r="J17" s="187"/>
      <c r="K17" s="187"/>
      <c r="L17" s="187"/>
      <c r="M17" s="187"/>
      <c r="N17" s="187"/>
      <c r="O17" s="187"/>
      <c r="P17" s="187"/>
      <c r="Q17" s="187"/>
    </row>
    <row r="18" spans="2:17" x14ac:dyDescent="0.3">
      <c r="B18" s="187" t="s">
        <v>174</v>
      </c>
      <c r="C18" s="189">
        <f>C14-C17</f>
        <v>0</v>
      </c>
      <c r="D18" s="189">
        <f t="shared" ref="D18:G18" si="6">D14-D17</f>
        <v>0</v>
      </c>
      <c r="E18" s="189">
        <f t="shared" si="6"/>
        <v>0</v>
      </c>
      <c r="F18" s="189">
        <f t="shared" si="6"/>
        <v>-3.0695446184836328E-12</v>
      </c>
      <c r="G18" s="189">
        <f t="shared" si="6"/>
        <v>0</v>
      </c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</sheetData>
  <mergeCells count="1">
    <mergeCell ref="B3:Q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0F67-28CA-4D89-9D57-3FBF8039E0DE}">
  <dimension ref="B1:S40"/>
  <sheetViews>
    <sheetView workbookViewId="0"/>
  </sheetViews>
  <sheetFormatPr defaultColWidth="9.109375" defaultRowHeight="15.6" x14ac:dyDescent="0.3"/>
  <cols>
    <col min="1" max="1" width="3.109375" style="55" customWidth="1"/>
    <col min="2" max="2" width="22.44140625" style="55" customWidth="1"/>
    <col min="3" max="3" width="13.33203125" style="55" customWidth="1"/>
    <col min="4" max="5" width="13.44140625" style="55" customWidth="1"/>
    <col min="6" max="6" width="14.44140625" style="55" customWidth="1"/>
    <col min="7" max="7" width="12.33203125" style="55" customWidth="1"/>
    <col min="8" max="8" width="12.21875" style="55" customWidth="1"/>
    <col min="9" max="9" width="12.6640625" style="55" customWidth="1"/>
    <col min="10" max="10" width="12.77734375" style="55" customWidth="1"/>
    <col min="11" max="11" width="12.21875" style="55" customWidth="1"/>
    <col min="12" max="13" width="13.77734375" style="55" customWidth="1"/>
    <col min="14" max="14" width="12.109375" style="55" customWidth="1"/>
    <col min="15" max="15" width="12.33203125" style="55" bestFit="1" customWidth="1"/>
    <col min="16" max="16" width="12.88671875" style="55" customWidth="1"/>
    <col min="17" max="17" width="12.33203125" style="55" bestFit="1" customWidth="1"/>
    <col min="18" max="18" width="1.109375" style="55" customWidth="1"/>
    <col min="19" max="19" width="14.109375" style="55" customWidth="1"/>
    <col min="20" max="16384" width="9.109375" style="55"/>
  </cols>
  <sheetData>
    <row r="1" spans="2:19" ht="21" x14ac:dyDescent="0.4">
      <c r="B1" s="71" t="s">
        <v>369</v>
      </c>
    </row>
    <row r="2" spans="2:19" ht="16.2" x14ac:dyDescent="0.35">
      <c r="B2" s="142"/>
    </row>
    <row r="3" spans="2:19" ht="16.2" x14ac:dyDescent="0.3">
      <c r="B3" s="265" t="s">
        <v>370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</row>
    <row r="4" spans="2:19" s="6" customFormat="1" ht="48.6" x14ac:dyDescent="0.3">
      <c r="B4" s="114" t="s">
        <v>200</v>
      </c>
      <c r="C4" s="19" t="s">
        <v>220</v>
      </c>
      <c r="D4" s="19" t="s">
        <v>221</v>
      </c>
      <c r="E4" s="19" t="s">
        <v>222</v>
      </c>
      <c r="F4" s="19" t="s">
        <v>223</v>
      </c>
      <c r="G4" s="19" t="s">
        <v>224</v>
      </c>
      <c r="H4" s="57" t="s">
        <v>225</v>
      </c>
      <c r="I4" s="57" t="s">
        <v>226</v>
      </c>
      <c r="J4" s="57" t="s">
        <v>227</v>
      </c>
      <c r="K4" s="57" t="s">
        <v>228</v>
      </c>
      <c r="L4" s="57" t="s">
        <v>229</v>
      </c>
      <c r="M4" s="57" t="s">
        <v>230</v>
      </c>
      <c r="N4" s="57" t="s">
        <v>231</v>
      </c>
      <c r="O4" s="57" t="s">
        <v>232</v>
      </c>
      <c r="P4" s="57" t="s">
        <v>233</v>
      </c>
      <c r="Q4" s="57" t="s">
        <v>234</v>
      </c>
      <c r="S4" s="56" t="s">
        <v>282</v>
      </c>
    </row>
    <row r="5" spans="2:19" s="6" customFormat="1" x14ac:dyDescent="0.3">
      <c r="B5" s="6" t="s">
        <v>283</v>
      </c>
      <c r="C5" s="146">
        <f>'Balance Sheet Input'!C4/1000</f>
        <v>1196.9079999999999</v>
      </c>
      <c r="D5" s="146">
        <f>'Balance Sheet Input'!D4/1000</f>
        <v>3393.2159999999999</v>
      </c>
      <c r="E5" s="146">
        <f>'Balance Sheet Input'!E4/1000</f>
        <v>3367.9140000000002</v>
      </c>
      <c r="F5" s="146">
        <f>'Balance Sheet Input'!F4/1000</f>
        <v>3685.6179999999999</v>
      </c>
      <c r="G5" s="146">
        <f>'Balance Sheet Input'!G4/1000</f>
        <v>6268</v>
      </c>
      <c r="H5" s="185">
        <f>G5+'Cash Flow '!H28</f>
        <v>10955.798324753292</v>
      </c>
      <c r="I5" s="185">
        <f>H5+'Cash Flow '!I28</f>
        <v>16386.443410540935</v>
      </c>
      <c r="J5" s="185">
        <f>I5+'Cash Flow '!J28</f>
        <v>24331.627056248253</v>
      </c>
      <c r="K5" s="185">
        <f>J5+'Cash Flow '!K28</f>
        <v>33894.565074924598</v>
      </c>
      <c r="L5" s="185">
        <f>K5+'Cash Flow '!L28</f>
        <v>42786.482678013308</v>
      </c>
      <c r="M5" s="185">
        <f>L5+'Cash Flow '!M28</f>
        <v>50976.497252943445</v>
      </c>
      <c r="N5" s="185">
        <f>M5+'Cash Flow '!N28</f>
        <v>59774.69049686745</v>
      </c>
      <c r="O5" s="185">
        <f>N5+'Cash Flow '!O28</f>
        <v>69279.658851934611</v>
      </c>
      <c r="P5" s="185">
        <f>O5+'Cash Flow '!P28</f>
        <v>79177.217957877569</v>
      </c>
      <c r="Q5" s="185">
        <f>P5+'Cash Flow '!Q28</f>
        <v>88511.841123638616</v>
      </c>
      <c r="S5" s="6" t="s">
        <v>284</v>
      </c>
    </row>
    <row r="6" spans="2:19" s="6" customFormat="1" x14ac:dyDescent="0.3">
      <c r="B6" s="6" t="s">
        <v>285</v>
      </c>
      <c r="C6" s="146">
        <f>'Balance Sheet Input'!C5/1000</f>
        <v>22.628</v>
      </c>
      <c r="D6" s="146">
        <f>'Balance Sheet Input'!D5/1000</f>
        <v>105.51900000000001</v>
      </c>
      <c r="E6" s="146">
        <f>'Balance Sheet Input'!E5/1000</f>
        <v>155.32300000000001</v>
      </c>
      <c r="F6" s="146">
        <f>'Balance Sheet Input'!F5/1000</f>
        <v>192.55099999999999</v>
      </c>
      <c r="G6" s="146">
        <f>'Balance Sheet Input'!G5/1000</f>
        <v>246</v>
      </c>
      <c r="H6" s="185">
        <f>G6</f>
        <v>246</v>
      </c>
      <c r="I6" s="185">
        <f t="shared" ref="I6:Q6" si="0">H6</f>
        <v>246</v>
      </c>
      <c r="J6" s="185">
        <f t="shared" si="0"/>
        <v>246</v>
      </c>
      <c r="K6" s="185">
        <f t="shared" si="0"/>
        <v>246</v>
      </c>
      <c r="L6" s="185">
        <f t="shared" si="0"/>
        <v>246</v>
      </c>
      <c r="M6" s="185">
        <f t="shared" si="0"/>
        <v>246</v>
      </c>
      <c r="N6" s="185">
        <f t="shared" si="0"/>
        <v>246</v>
      </c>
      <c r="O6" s="185">
        <f t="shared" si="0"/>
        <v>246</v>
      </c>
      <c r="P6" s="185">
        <f t="shared" si="0"/>
        <v>246</v>
      </c>
      <c r="Q6" s="185">
        <f t="shared" si="0"/>
        <v>246</v>
      </c>
      <c r="S6" s="6" t="s">
        <v>286</v>
      </c>
    </row>
    <row r="7" spans="2:19" s="6" customFormat="1" x14ac:dyDescent="0.3">
      <c r="B7" s="6" t="s">
        <v>251</v>
      </c>
      <c r="C7" s="146">
        <f>'Balance Sheet Input'!C6/1000</f>
        <v>168.965</v>
      </c>
      <c r="D7" s="146">
        <f>'Balance Sheet Input'!D6/1000</f>
        <v>499.142</v>
      </c>
      <c r="E7" s="146">
        <f>'Balance Sheet Input'!E6/1000</f>
        <v>515.38099999999997</v>
      </c>
      <c r="F7" s="146">
        <f>'Balance Sheet Input'!F6/1000</f>
        <v>949.02200000000005</v>
      </c>
      <c r="G7" s="146">
        <f>'Balance Sheet Input'!G6/1000</f>
        <v>1324</v>
      </c>
      <c r="H7" s="185">
        <f>'Tesla Working capital '!H5</f>
        <v>1957.8705953666226</v>
      </c>
      <c r="I7" s="185">
        <f>'Tesla Working capital '!I5</f>
        <v>2601.1791047996007</v>
      </c>
      <c r="J7" s="185">
        <f>'Tesla Working capital '!J5</f>
        <v>3536.9606851732929</v>
      </c>
      <c r="K7" s="185">
        <f>'Tesla Working capital '!K5</f>
        <v>4551.9615533216038</v>
      </c>
      <c r="L7" s="185">
        <f>'Tesla Working capital '!L5</f>
        <v>5204.234193399785</v>
      </c>
      <c r="M7" s="185">
        <f>'Tesla Working capital '!M5</f>
        <v>5577.3916231785697</v>
      </c>
      <c r="N7" s="185">
        <f>'Tesla Working capital '!N5</f>
        <v>5944.7471123970618</v>
      </c>
      <c r="O7" s="185">
        <f>'Tesla Working capital '!O5</f>
        <v>6318.9880053612278</v>
      </c>
      <c r="P7" s="185">
        <f>'Tesla Working capital '!P5</f>
        <v>6632.8989605478373</v>
      </c>
      <c r="Q7" s="185">
        <f>'Tesla Working capital '!Q5</f>
        <v>6916.5155590275044</v>
      </c>
      <c r="S7" s="6" t="s">
        <v>287</v>
      </c>
    </row>
    <row r="8" spans="2:19" s="6" customFormat="1" x14ac:dyDescent="0.3">
      <c r="B8" s="6" t="s">
        <v>75</v>
      </c>
      <c r="C8" s="146">
        <f>'Balance Sheet Input'!C7/1000</f>
        <v>1277.838</v>
      </c>
      <c r="D8" s="146">
        <f>'Balance Sheet Input'!D7/1000</f>
        <v>2067.4540000000002</v>
      </c>
      <c r="E8" s="146">
        <f>'Balance Sheet Input'!E7/1000</f>
        <v>2263.5369999999998</v>
      </c>
      <c r="F8" s="146">
        <f>'Balance Sheet Input'!F7/1000</f>
        <v>3113.4459999999999</v>
      </c>
      <c r="G8" s="146">
        <f>'Balance Sheet Input'!G7/1000</f>
        <v>3552</v>
      </c>
      <c r="H8" s="185">
        <f>'Tesla Working capital '!H6</f>
        <v>8351.4201472431869</v>
      </c>
      <c r="I8" s="185">
        <f>'Tesla Working capital '!I6</f>
        <v>11210.30407606138</v>
      </c>
      <c r="J8" s="185">
        <f>'Tesla Working capital '!J6</f>
        <v>15317.381819211099</v>
      </c>
      <c r="K8" s="185">
        <f>'Tesla Working capital '!K6</f>
        <v>19780.399801468891</v>
      </c>
      <c r="L8" s="185">
        <f>'Tesla Working capital '!L6</f>
        <v>22604.49514529622</v>
      </c>
      <c r="M8" s="185">
        <f>'Tesla Working capital '!M6</f>
        <v>24249.430837912176</v>
      </c>
      <c r="N8" s="185">
        <f>'Tesla Working capital '!N6</f>
        <v>25866.918844584336</v>
      </c>
      <c r="O8" s="185">
        <f>'Tesla Working capital '!O6</f>
        <v>27518.192684894198</v>
      </c>
      <c r="P8" s="185">
        <f>'Tesla Working capital '!P6</f>
        <v>28897.851364771406</v>
      </c>
      <c r="Q8" s="185">
        <f>'Tesla Working capital '!Q6</f>
        <v>30150.922265250127</v>
      </c>
      <c r="S8" s="6" t="s">
        <v>287</v>
      </c>
    </row>
    <row r="9" spans="2:19" s="6" customFormat="1" x14ac:dyDescent="0.3">
      <c r="B9" s="6" t="s">
        <v>288</v>
      </c>
      <c r="C9" s="146">
        <f>'Balance Sheet Input'!C8/1000</f>
        <v>115.667</v>
      </c>
      <c r="D9" s="146">
        <f>'Balance Sheet Input'!D8/1000</f>
        <v>194.465</v>
      </c>
      <c r="E9" s="146">
        <f>'Balance Sheet Input'!E8/1000</f>
        <v>268.36500000000001</v>
      </c>
      <c r="F9" s="146">
        <f>'Balance Sheet Input'!F8/1000</f>
        <v>365.67099999999999</v>
      </c>
      <c r="G9" s="146">
        <f>'Balance Sheet Input'!G8/1000</f>
        <v>713</v>
      </c>
      <c r="H9" s="185">
        <f>H10*'P&amp;L '!H5</f>
        <v>883.94269898227265</v>
      </c>
      <c r="I9" s="185">
        <f>I10*'P&amp;L '!I5</f>
        <v>1174.3847033987938</v>
      </c>
      <c r="J9" s="185">
        <f>J10*'P&amp;L '!J5</f>
        <v>1596.872940247013</v>
      </c>
      <c r="K9" s="185">
        <f>K10*'P&amp;L '!K5</f>
        <v>2055.1272339595971</v>
      </c>
      <c r="L9" s="185">
        <f>L10*'P&amp;L '!L5</f>
        <v>2349.616379109169</v>
      </c>
      <c r="M9" s="185">
        <f>M10*'P&amp;L '!M5</f>
        <v>2518.0901211453124</v>
      </c>
      <c r="N9" s="185">
        <f>N10*'P&amp;L '!N5</f>
        <v>2683.9443933297016</v>
      </c>
      <c r="O9" s="185">
        <f>O10*'P&amp;L '!O5</f>
        <v>2852.9072991413259</v>
      </c>
      <c r="P9" s="185">
        <f>P10*'P&amp;L '!P5</f>
        <v>2994.6323434953401</v>
      </c>
      <c r="Q9" s="185">
        <f>Q10*'P&amp;L '!Q5</f>
        <v>3122.6800408914714</v>
      </c>
      <c r="S9" s="6" t="s">
        <v>289</v>
      </c>
    </row>
    <row r="10" spans="2:19" s="6" customFormat="1" x14ac:dyDescent="0.3">
      <c r="B10" s="139" t="s">
        <v>290</v>
      </c>
      <c r="C10" s="140">
        <f>C9/'P&amp;L '!C5</f>
        <v>2.8587811493997195E-2</v>
      </c>
      <c r="D10" s="140">
        <f>D9/'P&amp;L '!D5</f>
        <v>2.7780190430694737E-2</v>
      </c>
      <c r="E10" s="140">
        <f>E9/'P&amp;L '!E5</f>
        <v>2.2822576989681983E-2</v>
      </c>
      <c r="F10" s="140">
        <f>F9/'P&amp;L '!F5</f>
        <v>1.7038648415368562E-2</v>
      </c>
      <c r="G10" s="140">
        <f>G9/'P&amp;L '!G5</f>
        <v>2.9009683456749938E-2</v>
      </c>
      <c r="H10" s="194">
        <f>AVERAGE($F$10:$G$10)</f>
        <v>2.302416593605925E-2</v>
      </c>
      <c r="I10" s="194">
        <f t="shared" ref="I10:Q10" si="1">AVERAGE($F$10:$G$10)</f>
        <v>2.302416593605925E-2</v>
      </c>
      <c r="J10" s="194">
        <f t="shared" si="1"/>
        <v>2.302416593605925E-2</v>
      </c>
      <c r="K10" s="194">
        <f t="shared" si="1"/>
        <v>2.302416593605925E-2</v>
      </c>
      <c r="L10" s="194">
        <f t="shared" si="1"/>
        <v>2.302416593605925E-2</v>
      </c>
      <c r="M10" s="194">
        <f t="shared" si="1"/>
        <v>2.302416593605925E-2</v>
      </c>
      <c r="N10" s="194">
        <f t="shared" si="1"/>
        <v>2.302416593605925E-2</v>
      </c>
      <c r="O10" s="194">
        <f t="shared" si="1"/>
        <v>2.302416593605925E-2</v>
      </c>
      <c r="P10" s="194">
        <f t="shared" si="1"/>
        <v>2.302416593605925E-2</v>
      </c>
      <c r="Q10" s="194">
        <f t="shared" si="1"/>
        <v>2.302416593605925E-2</v>
      </c>
    </row>
    <row r="11" spans="2:19" s="6" customFormat="1" x14ac:dyDescent="0.3">
      <c r="B11" s="6" t="s">
        <v>291</v>
      </c>
      <c r="C11" s="146">
        <f>('Balance Sheet Input'!C10)/1000+('Balance Sheet Input'!C13)/1000</f>
        <v>1791.403</v>
      </c>
      <c r="D11" s="146">
        <f>('Balance Sheet Input'!D10)/1000+('Balance Sheet Input'!D13)/1000</f>
        <v>3134.08</v>
      </c>
      <c r="E11" s="146">
        <f>('Balance Sheet Input'!E10)/1000+('Balance Sheet Input'!E13)/1000</f>
        <v>4116.6040000000003</v>
      </c>
      <c r="F11" s="146">
        <f>('Balance Sheet Input'!F10)/1000+('Balance Sheet Input'!F13)/1000</f>
        <v>2089.7579999999998</v>
      </c>
      <c r="G11" s="146">
        <f>('Balance Sheet Input'!G10)/1000+('Balance Sheet Input'!G13)/1000</f>
        <v>3665</v>
      </c>
      <c r="H11" s="185">
        <f t="shared" ref="H11:Q11" si="2">$G$11</f>
        <v>3665</v>
      </c>
      <c r="I11" s="185">
        <f t="shared" si="2"/>
        <v>3665</v>
      </c>
      <c r="J11" s="185">
        <f t="shared" si="2"/>
        <v>3665</v>
      </c>
      <c r="K11" s="185">
        <f t="shared" si="2"/>
        <v>3665</v>
      </c>
      <c r="L11" s="185">
        <f t="shared" si="2"/>
        <v>3665</v>
      </c>
      <c r="M11" s="185">
        <f t="shared" si="2"/>
        <v>3665</v>
      </c>
      <c r="N11" s="185">
        <f t="shared" si="2"/>
        <v>3665</v>
      </c>
      <c r="O11" s="185">
        <f t="shared" si="2"/>
        <v>3665</v>
      </c>
      <c r="P11" s="185">
        <f t="shared" si="2"/>
        <v>3665</v>
      </c>
      <c r="Q11" s="185">
        <f t="shared" si="2"/>
        <v>3665</v>
      </c>
      <c r="S11" s="6" t="s">
        <v>286</v>
      </c>
    </row>
    <row r="12" spans="2:19" s="6" customFormat="1" x14ac:dyDescent="0.3">
      <c r="B12" s="6" t="s">
        <v>292</v>
      </c>
      <c r="C12" s="146">
        <f>'Balance Sheet Input'!C11/1000</f>
        <v>0</v>
      </c>
      <c r="D12" s="146">
        <f>'Balance Sheet Input'!D11/1000</f>
        <v>5919.88</v>
      </c>
      <c r="E12" s="146">
        <f>'Balance Sheet Input'!E11/1000</f>
        <v>6347.49</v>
      </c>
      <c r="F12" s="146">
        <f>'Balance Sheet Input'!F11/1000</f>
        <v>6271.3959999999997</v>
      </c>
      <c r="G12" s="146">
        <f>'Balance Sheet Input'!G11/1000</f>
        <v>6138</v>
      </c>
      <c r="H12" s="185">
        <f t="shared" ref="H12:Q12" si="3">$G$12</f>
        <v>6138</v>
      </c>
      <c r="I12" s="185">
        <f t="shared" si="3"/>
        <v>6138</v>
      </c>
      <c r="J12" s="185">
        <f t="shared" si="3"/>
        <v>6138</v>
      </c>
      <c r="K12" s="185">
        <f t="shared" si="3"/>
        <v>6138</v>
      </c>
      <c r="L12" s="185">
        <f t="shared" si="3"/>
        <v>6138</v>
      </c>
      <c r="M12" s="185">
        <f t="shared" si="3"/>
        <v>6138</v>
      </c>
      <c r="N12" s="185">
        <f t="shared" si="3"/>
        <v>6138</v>
      </c>
      <c r="O12" s="185">
        <f t="shared" si="3"/>
        <v>6138</v>
      </c>
      <c r="P12" s="185">
        <f t="shared" si="3"/>
        <v>6138</v>
      </c>
      <c r="Q12" s="185">
        <f t="shared" si="3"/>
        <v>6138</v>
      </c>
      <c r="S12" s="6" t="s">
        <v>286</v>
      </c>
    </row>
    <row r="13" spans="2:19" s="6" customFormat="1" x14ac:dyDescent="0.3">
      <c r="B13" s="6" t="s">
        <v>293</v>
      </c>
      <c r="C13" s="146">
        <f>'Balance Sheet Input'!C12/1000</f>
        <v>3403.3339999999998</v>
      </c>
      <c r="D13" s="146">
        <f>'Balance Sheet Input'!D12/1000</f>
        <v>5982.9570000000003</v>
      </c>
      <c r="E13" s="146">
        <f>'Balance Sheet Input'!E12/1000</f>
        <v>10027.522000000001</v>
      </c>
      <c r="F13" s="146">
        <f>'Balance Sheet Input'!F12/1000</f>
        <v>11330.076999999999</v>
      </c>
      <c r="G13" s="146">
        <f>'Balance Sheet Input'!G12/1000</f>
        <v>10396</v>
      </c>
      <c r="H13" s="185">
        <f>'Tesla PP&amp;E'!H10</f>
        <v>11153.095202632239</v>
      </c>
      <c r="I13" s="185">
        <f>'Tesla PP&amp;E'!I10</f>
        <v>11841.403056925185</v>
      </c>
      <c r="J13" s="185">
        <f>'Tesla PP&amp;E'!J10</f>
        <v>12434.496962825693</v>
      </c>
      <c r="K13" s="185">
        <f>'Tesla PP&amp;E'!K10</f>
        <v>12902.704039541522</v>
      </c>
      <c r="L13" s="185">
        <f>'Tesla PP&amp;E'!L10</f>
        <v>13213.051551006934</v>
      </c>
      <c r="M13" s="185">
        <f>'Tesla PP&amp;E'!M10</f>
        <v>13329.266410129147</v>
      </c>
      <c r="N13" s="185">
        <f>'Tesla PP&amp;E'!N10</f>
        <v>13211.837963972712</v>
      </c>
      <c r="O13" s="185">
        <f>'Tesla PP&amp;E'!O10</f>
        <v>12818.155005969385</v>
      </c>
      <c r="P13" s="185">
        <f>'Tesla PP&amp;E'!P10</f>
        <v>12102.728637831306</v>
      </c>
      <c r="Q13" s="185">
        <f>'Tesla PP&amp;E'!Q10</f>
        <v>12106.758764576407</v>
      </c>
      <c r="S13" s="6" t="s">
        <v>294</v>
      </c>
    </row>
    <row r="14" spans="2:19" s="6" customFormat="1" x14ac:dyDescent="0.3">
      <c r="B14" s="6" t="s">
        <v>295</v>
      </c>
      <c r="C14" s="146">
        <f>'Balance Sheet Input'!C14/1000</f>
        <v>12.816000000000001</v>
      </c>
      <c r="D14" s="146">
        <f>'Balance Sheet Input'!D14/1000</f>
        <v>376.14499999999998</v>
      </c>
      <c r="E14" s="146">
        <f>'Balance Sheet Input'!E14/1000</f>
        <v>361.50200000000001</v>
      </c>
      <c r="F14" s="146">
        <f>'Balance Sheet Input'!F14/1000</f>
        <v>282.49200000000002</v>
      </c>
      <c r="G14" s="146">
        <f>'Balance Sheet Input'!G14/1000</f>
        <v>339</v>
      </c>
      <c r="H14" s="185">
        <f t="shared" ref="H14:Q14" si="4">$G$14</f>
        <v>339</v>
      </c>
      <c r="I14" s="185">
        <f t="shared" si="4"/>
        <v>339</v>
      </c>
      <c r="J14" s="185">
        <f t="shared" si="4"/>
        <v>339</v>
      </c>
      <c r="K14" s="185">
        <f t="shared" si="4"/>
        <v>339</v>
      </c>
      <c r="L14" s="185">
        <f t="shared" si="4"/>
        <v>339</v>
      </c>
      <c r="M14" s="185">
        <f t="shared" si="4"/>
        <v>339</v>
      </c>
      <c r="N14" s="185">
        <f t="shared" si="4"/>
        <v>339</v>
      </c>
      <c r="O14" s="185">
        <f t="shared" si="4"/>
        <v>339</v>
      </c>
      <c r="P14" s="185">
        <f t="shared" si="4"/>
        <v>339</v>
      </c>
      <c r="Q14" s="185">
        <f t="shared" si="4"/>
        <v>339</v>
      </c>
      <c r="S14" s="6" t="s">
        <v>286</v>
      </c>
    </row>
    <row r="15" spans="2:19" s="6" customFormat="1" x14ac:dyDescent="0.3">
      <c r="B15" s="6" t="s">
        <v>85</v>
      </c>
      <c r="C15" s="146">
        <f>('Balance Sheet Input'!C15+'Balance Sheet Input'!C16+'Balance Sheet Input'!C17)/1000</f>
        <v>78.38</v>
      </c>
      <c r="D15" s="146">
        <f>('Balance Sheet Input'!D15+'Balance Sheet Input'!D16+'Balance Sheet Input'!D17)/1000</f>
        <v>991.21799999999996</v>
      </c>
      <c r="E15" s="146">
        <f>('Balance Sheet Input'!E15+'Balance Sheet Input'!E16+'Balance Sheet Input'!E17)/1000</f>
        <v>1231.7339999999999</v>
      </c>
      <c r="F15" s="146">
        <f>('Balance Sheet Input'!F15+'Balance Sheet Input'!F16+'Balance Sheet Input'!F17)/1000</f>
        <v>1459.5830000000001</v>
      </c>
      <c r="G15" s="146">
        <f>('Balance Sheet Input'!G15+'Balance Sheet Input'!G16+'Balance Sheet Input'!G17)/1000</f>
        <v>1668</v>
      </c>
      <c r="H15" s="185">
        <f>H16*'P&amp;L '!H5</f>
        <v>2608.2662070417837</v>
      </c>
      <c r="I15" s="185">
        <f>I16*'P&amp;L '!I5</f>
        <v>3465.2788460932716</v>
      </c>
      <c r="J15" s="185">
        <f>J16*'P&amp;L '!J5</f>
        <v>4711.9227657869569</v>
      </c>
      <c r="K15" s="185">
        <f>K16*'P&amp;L '!K5</f>
        <v>6064.1022564920477</v>
      </c>
      <c r="L15" s="185">
        <f>L16*'P&amp;L '!L5</f>
        <v>6933.056869181999</v>
      </c>
      <c r="M15" s="185">
        <f>M16*'P&amp;L '!M5</f>
        <v>7430.1754817715691</v>
      </c>
      <c r="N15" s="185">
        <f>N16*'P&amp;L '!N5</f>
        <v>7919.564775817571</v>
      </c>
      <c r="O15" s="185">
        <f>O16*'P&amp;L '!O5</f>
        <v>8418.1267730821492</v>
      </c>
      <c r="P15" s="185">
        <f>P16*'P&amp;L '!P5</f>
        <v>8836.3175045692442</v>
      </c>
      <c r="Q15" s="185">
        <f>Q16*'P&amp;L '!Q5</f>
        <v>9214.1502333110184</v>
      </c>
      <c r="R15" s="119"/>
      <c r="S15" s="6" t="s">
        <v>289</v>
      </c>
    </row>
    <row r="16" spans="2:19" s="6" customFormat="1" x14ac:dyDescent="0.3">
      <c r="B16" s="139" t="s">
        <v>290</v>
      </c>
      <c r="C16" s="140">
        <f>C15/'P&amp;L '!C5</f>
        <v>1.9372099776941563E-2</v>
      </c>
      <c r="D16" s="140">
        <f>D15/'P&amp;L '!D5</f>
        <v>0.14159990125900485</v>
      </c>
      <c r="E16" s="140">
        <f>E15/'P&amp;L '!E5</f>
        <v>0.10475041099177965</v>
      </c>
      <c r="F16" s="140">
        <f>F15/'P&amp;L '!F5</f>
        <v>6.801010080112696E-2</v>
      </c>
      <c r="G16" s="140">
        <f>G15/'P&amp;L '!G5</f>
        <v>6.7865570835706726E-2</v>
      </c>
      <c r="H16" s="194">
        <f>AVERAGE($F$16:$G$16)</f>
        <v>6.7937835818416836E-2</v>
      </c>
      <c r="I16" s="194">
        <f t="shared" ref="I16:Q16" si="5">AVERAGE($F$16:$G$16)</f>
        <v>6.7937835818416836E-2</v>
      </c>
      <c r="J16" s="194">
        <f t="shared" si="5"/>
        <v>6.7937835818416836E-2</v>
      </c>
      <c r="K16" s="194">
        <f t="shared" si="5"/>
        <v>6.7937835818416836E-2</v>
      </c>
      <c r="L16" s="194">
        <f t="shared" si="5"/>
        <v>6.7937835818416836E-2</v>
      </c>
      <c r="M16" s="194">
        <f t="shared" si="5"/>
        <v>6.7937835818416836E-2</v>
      </c>
      <c r="N16" s="194">
        <f t="shared" si="5"/>
        <v>6.7937835818416836E-2</v>
      </c>
      <c r="O16" s="194">
        <f t="shared" si="5"/>
        <v>6.7937835818416836E-2</v>
      </c>
      <c r="P16" s="194">
        <f t="shared" si="5"/>
        <v>6.7937835818416836E-2</v>
      </c>
      <c r="Q16" s="194">
        <f t="shared" si="5"/>
        <v>6.7937835818416836E-2</v>
      </c>
    </row>
    <row r="17" spans="2:19" s="6" customFormat="1" ht="16.8" thickBot="1" x14ac:dyDescent="0.4">
      <c r="B17" s="60" t="s">
        <v>86</v>
      </c>
      <c r="C17" s="61">
        <f>C5+C6+C7+C8+C9+C11+C12+C13+C14+C15</f>
        <v>8067.9389999999994</v>
      </c>
      <c r="D17" s="61">
        <f t="shared" ref="D17:Q17" si="6">D5+D6+D7+D8+D9+D11+D12+D13+D14+D15</f>
        <v>22664.076000000005</v>
      </c>
      <c r="E17" s="61">
        <f t="shared" si="6"/>
        <v>28655.372000000003</v>
      </c>
      <c r="F17" s="61">
        <f t="shared" si="6"/>
        <v>29739.613999999994</v>
      </c>
      <c r="G17" s="61">
        <f t="shared" si="6"/>
        <v>34309</v>
      </c>
      <c r="H17" s="132">
        <f t="shared" si="6"/>
        <v>46298.393176019395</v>
      </c>
      <c r="I17" s="132">
        <f t="shared" si="6"/>
        <v>57066.993197819167</v>
      </c>
      <c r="J17" s="132">
        <f t="shared" si="6"/>
        <v>72317.262229492306</v>
      </c>
      <c r="K17" s="132">
        <f t="shared" si="6"/>
        <v>89636.85995970825</v>
      </c>
      <c r="L17" s="132">
        <f t="shared" si="6"/>
        <v>103478.93681600742</v>
      </c>
      <c r="M17" s="132">
        <f t="shared" si="6"/>
        <v>114468.85172708023</v>
      </c>
      <c r="N17" s="132">
        <f t="shared" si="6"/>
        <v>125789.70358696883</v>
      </c>
      <c r="O17" s="132">
        <f t="shared" si="6"/>
        <v>137594.02862038289</v>
      </c>
      <c r="P17" s="132">
        <f t="shared" si="6"/>
        <v>149029.64676909271</v>
      </c>
      <c r="Q17" s="132">
        <f t="shared" si="6"/>
        <v>160410.86798669517</v>
      </c>
    </row>
    <row r="18" spans="2:19" s="6" customFormat="1" x14ac:dyDescent="0.3"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</row>
    <row r="19" spans="2:19" s="6" customFormat="1" x14ac:dyDescent="0.3">
      <c r="B19" s="6" t="s">
        <v>87</v>
      </c>
      <c r="C19" s="146">
        <f>'Balance Sheet Input'!C19/1000</f>
        <v>916.14800000000002</v>
      </c>
      <c r="D19" s="146">
        <f>'Balance Sheet Input'!D19/1000</f>
        <v>1860.3409999999999</v>
      </c>
      <c r="E19" s="146">
        <f>'Balance Sheet Input'!E19/1000</f>
        <v>2390.25</v>
      </c>
      <c r="F19" s="146">
        <f>'Balance Sheet Input'!F19/1000</f>
        <v>3404.451</v>
      </c>
      <c r="G19" s="146">
        <f>'Balance Sheet Input'!G19/1000</f>
        <v>3771</v>
      </c>
      <c r="H19" s="185">
        <f>'Tesla Working capital '!H7</f>
        <v>7665.1487748212348</v>
      </c>
      <c r="I19" s="185">
        <f>'Tesla Working capital '!I7</f>
        <v>10289.106168650913</v>
      </c>
      <c r="J19" s="185">
        <f>'Tesla Working capital '!J7</f>
        <v>14058.688033286433</v>
      </c>
      <c r="K19" s="185">
        <f>'Tesla Working capital '!K7</f>
        <v>18154.961028245398</v>
      </c>
      <c r="L19" s="185">
        <f>'Tesla Working capital '!L7</f>
        <v>20746.988561653845</v>
      </c>
      <c r="M19" s="185">
        <f>'Tesla Working capital '!M7</f>
        <v>22256.752959398469</v>
      </c>
      <c r="N19" s="185">
        <f>'Tesla Working capital '!N7</f>
        <v>23741.325163171958</v>
      </c>
      <c r="O19" s="185">
        <f>'Tesla Working capital '!O7</f>
        <v>25256.906876316123</v>
      </c>
      <c r="P19" s="185">
        <f>'Tesla Working capital '!P7</f>
        <v>26523.193190892594</v>
      </c>
      <c r="Q19" s="185">
        <f>'Tesla Working capital '!Q7</f>
        <v>27673.293977133024</v>
      </c>
      <c r="S19" s="6" t="s">
        <v>287</v>
      </c>
    </row>
    <row r="20" spans="2:19" s="6" customFormat="1" x14ac:dyDescent="0.3">
      <c r="B20" s="6" t="s">
        <v>88</v>
      </c>
      <c r="C20" s="146">
        <f>'Balance Sheet Input'!C20/1000</f>
        <v>422.798</v>
      </c>
      <c r="D20" s="146">
        <f>'Balance Sheet Input'!D20/1000</f>
        <v>1210.028</v>
      </c>
      <c r="E20" s="146">
        <f>'Balance Sheet Input'!E20/1000</f>
        <v>1731.366</v>
      </c>
      <c r="F20" s="146">
        <f>'Balance Sheet Input'!F20/1000</f>
        <v>2094.2530000000002</v>
      </c>
      <c r="G20" s="146">
        <f>'Balance Sheet Input'!G20/1000</f>
        <v>2905</v>
      </c>
      <c r="H20" s="185">
        <f>H21*'P&amp;L '!H5</f>
        <v>4142.0702854155488</v>
      </c>
      <c r="I20" s="185">
        <f>I21*'P&amp;L '!I5</f>
        <v>5503.0535228078752</v>
      </c>
      <c r="J20" s="185">
        <f>J21*'P&amp;L '!J5</f>
        <v>7482.7926776212471</v>
      </c>
      <c r="K20" s="185">
        <f>K21*'P&amp;L '!K5</f>
        <v>9630.1281274602297</v>
      </c>
      <c r="L20" s="185">
        <f>L21*'P&amp;L '!L5</f>
        <v>11010.07587622933</v>
      </c>
      <c r="M20" s="185">
        <f>M21*'P&amp;L '!M5</f>
        <v>11799.527592459488</v>
      </c>
      <c r="N20" s="185">
        <f>N21*'P&amp;L '!N5</f>
        <v>12576.704725451405</v>
      </c>
      <c r="O20" s="185">
        <f>O21*'P&amp;L '!O5</f>
        <v>13368.448615983649</v>
      </c>
      <c r="P20" s="185">
        <f>P21*'P&amp;L '!P5</f>
        <v>14032.558513145361</v>
      </c>
      <c r="Q20" s="185">
        <f>Q21*'P&amp;L '!Q5</f>
        <v>14632.577680803008</v>
      </c>
      <c r="S20" s="6" t="s">
        <v>289</v>
      </c>
    </row>
    <row r="21" spans="2:19" s="6" customFormat="1" x14ac:dyDescent="0.3">
      <c r="B21" s="139" t="s">
        <v>290</v>
      </c>
      <c r="C21" s="140">
        <f>C20/'P&amp;L '!C5</f>
        <v>0.1044971298990985</v>
      </c>
      <c r="D21" s="140">
        <f>D20/'P&amp;L '!D5</f>
        <v>0.17285788325134441</v>
      </c>
      <c r="E21" s="140">
        <f>E20/'P&amp;L '!E5</f>
        <v>0.14724063805756241</v>
      </c>
      <c r="F21" s="140">
        <f>F20/'P&amp;L '!F5</f>
        <v>9.7582910758115524E-2</v>
      </c>
      <c r="G21" s="140">
        <f>G20/'P&amp;L '!G5</f>
        <v>0.11819513385954919</v>
      </c>
      <c r="H21" s="194">
        <f>AVERAGE($F$21:$G$21)</f>
        <v>0.10788902230883235</v>
      </c>
      <c r="I21" s="194">
        <f t="shared" ref="I21:Q21" si="7">AVERAGE($F$21:$G$21)</f>
        <v>0.10788902230883235</v>
      </c>
      <c r="J21" s="194">
        <f t="shared" si="7"/>
        <v>0.10788902230883235</v>
      </c>
      <c r="K21" s="194">
        <f t="shared" si="7"/>
        <v>0.10788902230883235</v>
      </c>
      <c r="L21" s="194">
        <f t="shared" si="7"/>
        <v>0.10788902230883235</v>
      </c>
      <c r="M21" s="194">
        <f t="shared" si="7"/>
        <v>0.10788902230883235</v>
      </c>
      <c r="N21" s="194">
        <f t="shared" si="7"/>
        <v>0.10788902230883235</v>
      </c>
      <c r="O21" s="194">
        <f t="shared" si="7"/>
        <v>0.10788902230883235</v>
      </c>
      <c r="P21" s="194">
        <f t="shared" si="7"/>
        <v>0.10788902230883235</v>
      </c>
      <c r="Q21" s="194">
        <f t="shared" si="7"/>
        <v>0.10788902230883235</v>
      </c>
    </row>
    <row r="22" spans="2:19" s="6" customFormat="1" x14ac:dyDescent="0.3">
      <c r="B22" s="6" t="s">
        <v>89</v>
      </c>
      <c r="C22" s="146">
        <f>'Balance Sheet Input'!C21/1000</f>
        <v>423.96100000000001</v>
      </c>
      <c r="D22" s="146">
        <f>'Balance Sheet Input'!D21/1000</f>
        <v>763.12599999999998</v>
      </c>
      <c r="E22" s="146">
        <f>'Balance Sheet Input'!E21/1000</f>
        <v>1015.253</v>
      </c>
      <c r="F22" s="146">
        <f>'Balance Sheet Input'!F21/1000</f>
        <v>630.29200000000003</v>
      </c>
      <c r="G22" s="146">
        <f>'Balance Sheet Input'!G21/1000</f>
        <v>1163</v>
      </c>
      <c r="H22" s="185">
        <f>H23*'P&amp;L '!H5</f>
        <v>1472.092505705617</v>
      </c>
      <c r="I22" s="185">
        <f>I23*'P&amp;L '!I5</f>
        <v>1955.7861869091007</v>
      </c>
      <c r="J22" s="185">
        <f>J23*'P&amp;L '!J5</f>
        <v>2659.3858296564372</v>
      </c>
      <c r="K22" s="185">
        <f>K23*'P&amp;L '!K5</f>
        <v>3422.5492250421421</v>
      </c>
      <c r="L22" s="185">
        <f>L23*'P&amp;L '!L5</f>
        <v>3912.9828969141608</v>
      </c>
      <c r="M22" s="185">
        <f>M23*'P&amp;L '!M5</f>
        <v>4193.5541752845047</v>
      </c>
      <c r="N22" s="185">
        <f>N23*'P&amp;L '!N5</f>
        <v>4469.7630646197567</v>
      </c>
      <c r="O22" s="185">
        <f>O23*'P&amp;L '!O5</f>
        <v>4751.1489821389696</v>
      </c>
      <c r="P22" s="185">
        <f>P23*'P&amp;L '!P5</f>
        <v>4987.173756035003</v>
      </c>
      <c r="Q22" s="185">
        <f>Q23*'P&amp;L '!Q5</f>
        <v>5200.4206734276495</v>
      </c>
      <c r="S22" s="6" t="s">
        <v>289</v>
      </c>
    </row>
    <row r="23" spans="2:19" s="6" customFormat="1" x14ac:dyDescent="0.3">
      <c r="B23" s="139" t="s">
        <v>290</v>
      </c>
      <c r="C23" s="140">
        <f>C22/'P&amp;L '!C5</f>
        <v>0.10478457251252773</v>
      </c>
      <c r="D23" s="140">
        <f>D22/'P&amp;L '!D5</f>
        <v>0.10901594427076518</v>
      </c>
      <c r="E23" s="140">
        <f>E22/'P&amp;L '!E5</f>
        <v>8.6340207391074106E-2</v>
      </c>
      <c r="F23" s="140">
        <f>F22/'P&amp;L '!F5</f>
        <v>2.936881455466658E-2</v>
      </c>
      <c r="G23" s="140">
        <f>G22/'P&amp;L '!G5</f>
        <v>4.7318740336886649E-2</v>
      </c>
      <c r="H23" s="194">
        <f>AVERAGE($F$23:$G$23)</f>
        <v>3.8343777445776613E-2</v>
      </c>
      <c r="I23" s="194">
        <f t="shared" ref="I23:Q23" si="8">AVERAGE($F$23:$G$23)</f>
        <v>3.8343777445776613E-2</v>
      </c>
      <c r="J23" s="194">
        <f t="shared" si="8"/>
        <v>3.8343777445776613E-2</v>
      </c>
      <c r="K23" s="194">
        <f t="shared" si="8"/>
        <v>3.8343777445776613E-2</v>
      </c>
      <c r="L23" s="194">
        <f t="shared" si="8"/>
        <v>3.8343777445776613E-2</v>
      </c>
      <c r="M23" s="194">
        <f t="shared" si="8"/>
        <v>3.8343777445776613E-2</v>
      </c>
      <c r="N23" s="194">
        <f t="shared" si="8"/>
        <v>3.8343777445776613E-2</v>
      </c>
      <c r="O23" s="194">
        <f t="shared" si="8"/>
        <v>3.8343777445776613E-2</v>
      </c>
      <c r="P23" s="194">
        <f t="shared" si="8"/>
        <v>3.8343777445776613E-2</v>
      </c>
      <c r="Q23" s="194">
        <f t="shared" si="8"/>
        <v>3.8343777445776613E-2</v>
      </c>
    </row>
    <row r="24" spans="2:19" s="6" customFormat="1" x14ac:dyDescent="0.3">
      <c r="B24" s="6" t="s">
        <v>90</v>
      </c>
      <c r="C24" s="146">
        <f>'Balance Sheet Input'!C22/1000</f>
        <v>136.83099999999999</v>
      </c>
      <c r="D24" s="146">
        <f>'Balance Sheet Input'!D22/1000</f>
        <v>179.50399999999999</v>
      </c>
      <c r="E24" s="146">
        <f>'Balance Sheet Input'!E22/1000</f>
        <v>787.33299999999997</v>
      </c>
      <c r="F24" s="146">
        <f>'Balance Sheet Input'!F22/1000</f>
        <v>502.84</v>
      </c>
      <c r="G24" s="146">
        <f>'Balance Sheet Input'!G22/1000</f>
        <v>317</v>
      </c>
      <c r="H24" s="185">
        <f>H25*'P&amp;L '!H5</f>
        <v>697.34816259483773</v>
      </c>
      <c r="I24" s="185">
        <f>I25*'P&amp;L '!I5</f>
        <v>926.47975489535247</v>
      </c>
      <c r="J24" s="185">
        <f>J25*'P&amp;L '!J5</f>
        <v>1259.7834815093634</v>
      </c>
      <c r="K24" s="185">
        <f>K25*'P&amp;L '!K5</f>
        <v>1621.3032837426915</v>
      </c>
      <c r="L24" s="185">
        <f>L25*'P&amp;L '!L5</f>
        <v>1853.6276917734624</v>
      </c>
      <c r="M24" s="185">
        <f>M25*'P&amp;L '!M5</f>
        <v>1986.5377260886364</v>
      </c>
      <c r="N24" s="185">
        <f>N25*'P&amp;L '!N5</f>
        <v>2117.3812435467826</v>
      </c>
      <c r="O24" s="185">
        <f>O25*'P&amp;L '!O5</f>
        <v>2250.6771823560284</v>
      </c>
      <c r="P24" s="185">
        <f>P25*'P&amp;L '!P5</f>
        <v>2362.4849945453634</v>
      </c>
      <c r="Q24" s="185">
        <f>Q25*'P&amp;L '!Q5</f>
        <v>2463.5026584804809</v>
      </c>
      <c r="R24" s="119">
        <f>R25*'P&amp;L '!R5</f>
        <v>0</v>
      </c>
      <c r="S24" s="6" t="s">
        <v>289</v>
      </c>
    </row>
    <row r="25" spans="2:19" s="6" customFormat="1" x14ac:dyDescent="0.3">
      <c r="B25" s="139" t="s">
        <v>290</v>
      </c>
      <c r="C25" s="140">
        <f>'Balance Sheet '!C24/'P&amp;L '!C5</f>
        <v>3.3818624452394634E-2</v>
      </c>
      <c r="D25" s="140">
        <f>'Balance Sheet '!D24/'P&amp;L '!D5</f>
        <v>2.5642945018751074E-2</v>
      </c>
      <c r="E25" s="140">
        <f>'Balance Sheet '!E24/'P&amp;L '!E5</f>
        <v>6.6957196389310386E-2</v>
      </c>
      <c r="F25" s="140">
        <f>'Balance Sheet '!F24/'P&amp;L '!F5</f>
        <v>2.3430116058380152E-2</v>
      </c>
      <c r="G25" s="140">
        <f>'Balance Sheet '!G24/'P&amp;L '!G5</f>
        <v>1.2897713402229637E-2</v>
      </c>
      <c r="H25" s="194">
        <f>AVERAGE($F$25:$G$25)</f>
        <v>1.8163914730304896E-2</v>
      </c>
      <c r="I25" s="194">
        <f t="shared" ref="I25:Q25" si="9">AVERAGE($F$25:$G$25)</f>
        <v>1.8163914730304896E-2</v>
      </c>
      <c r="J25" s="194">
        <f t="shared" si="9"/>
        <v>1.8163914730304896E-2</v>
      </c>
      <c r="K25" s="194">
        <f t="shared" si="9"/>
        <v>1.8163914730304896E-2</v>
      </c>
      <c r="L25" s="194">
        <f t="shared" si="9"/>
        <v>1.8163914730304896E-2</v>
      </c>
      <c r="M25" s="194">
        <f t="shared" si="9"/>
        <v>1.8163914730304896E-2</v>
      </c>
      <c r="N25" s="194">
        <f t="shared" si="9"/>
        <v>1.8163914730304896E-2</v>
      </c>
      <c r="O25" s="194">
        <f t="shared" si="9"/>
        <v>1.8163914730304896E-2</v>
      </c>
      <c r="P25" s="194">
        <f t="shared" si="9"/>
        <v>1.8163914730304896E-2</v>
      </c>
      <c r="Q25" s="194">
        <f t="shared" si="9"/>
        <v>1.8163914730304896E-2</v>
      </c>
    </row>
    <row r="26" spans="2:19" s="6" customFormat="1" x14ac:dyDescent="0.3">
      <c r="B26" s="6" t="s">
        <v>91</v>
      </c>
      <c r="C26" s="146">
        <f>'Balance Sheet Input'!C23/1000</f>
        <v>283.37</v>
      </c>
      <c r="D26" s="146">
        <f>'Balance Sheet Input'!D23/1000</f>
        <v>663.85900000000004</v>
      </c>
      <c r="E26" s="146">
        <f>'Balance Sheet Input'!E23/1000</f>
        <v>853.91899999999998</v>
      </c>
      <c r="F26" s="146">
        <f>'Balance Sheet Input'!F23/1000</f>
        <v>792.601</v>
      </c>
      <c r="G26" s="146">
        <f>'Balance Sheet Input'!G23/1000</f>
        <v>726</v>
      </c>
      <c r="H26" s="185">
        <f>H27*'P&amp;L '!H5</f>
        <v>1275.9624465922134</v>
      </c>
      <c r="I26" s="185">
        <f>I27*'P&amp;L '!I5</f>
        <v>1695.2125755599996</v>
      </c>
      <c r="J26" s="185">
        <f>J27*'P&amp;L '!J5</f>
        <v>2305.0701205863379</v>
      </c>
      <c r="K26" s="185">
        <f>K27*'P&amp;L '!K5</f>
        <v>2966.5556110373677</v>
      </c>
      <c r="L26" s="185">
        <f>L27*'P&amp;L '!L5</f>
        <v>3391.6477471820808</v>
      </c>
      <c r="M26" s="185">
        <f>M27*'P&amp;L '!M5</f>
        <v>3634.8379090811318</v>
      </c>
      <c r="N26" s="185">
        <f>N27*'P&amp;L '!N5</f>
        <v>3874.2468924437599</v>
      </c>
      <c r="O26" s="185">
        <f>O27*'P&amp;L '!O5</f>
        <v>4118.1431573611017</v>
      </c>
      <c r="P26" s="185">
        <f>P27*'P&amp;L '!P5</f>
        <v>4322.7218416418173</v>
      </c>
      <c r="Q26" s="185">
        <f>Q27*'P&amp;L '!Q5</f>
        <v>4507.5574123617052</v>
      </c>
      <c r="S26" s="6" t="s">
        <v>289</v>
      </c>
    </row>
    <row r="27" spans="2:19" s="6" customFormat="1" x14ac:dyDescent="0.3">
      <c r="B27" s="139" t="s">
        <v>290</v>
      </c>
      <c r="C27" s="140">
        <f>C26/'P&amp;L '!C5</f>
        <v>7.0036640900637048E-2</v>
      </c>
      <c r="D27" s="140">
        <f>D26/'P&amp;L '!D5</f>
        <v>9.4835211678865494E-2</v>
      </c>
      <c r="E27" s="140">
        <f>E26/'P&amp;L '!E5</f>
        <v>7.2619872637833732E-2</v>
      </c>
      <c r="F27" s="140">
        <f>F26/'P&amp;L '!F5</f>
        <v>3.6931694809458605E-2</v>
      </c>
      <c r="G27" s="140">
        <f>G26/'P&amp;L '!G5</f>
        <v>2.9538611766620555E-2</v>
      </c>
      <c r="H27" s="194">
        <f>AVERAGE($F$27:$G$27)</f>
        <v>3.3235153288039582E-2</v>
      </c>
      <c r="I27" s="194">
        <f t="shared" ref="I27:Q27" si="10">AVERAGE($F$27:$G$27)</f>
        <v>3.3235153288039582E-2</v>
      </c>
      <c r="J27" s="194">
        <f t="shared" si="10"/>
        <v>3.3235153288039582E-2</v>
      </c>
      <c r="K27" s="194">
        <f t="shared" si="10"/>
        <v>3.3235153288039582E-2</v>
      </c>
      <c r="L27" s="194">
        <f t="shared" si="10"/>
        <v>3.3235153288039582E-2</v>
      </c>
      <c r="M27" s="194">
        <f t="shared" si="10"/>
        <v>3.3235153288039582E-2</v>
      </c>
      <c r="N27" s="194">
        <f t="shared" si="10"/>
        <v>3.3235153288039582E-2</v>
      </c>
      <c r="O27" s="194">
        <f t="shared" si="10"/>
        <v>3.3235153288039582E-2</v>
      </c>
      <c r="P27" s="194">
        <f t="shared" si="10"/>
        <v>3.3235153288039582E-2</v>
      </c>
      <c r="Q27" s="194">
        <f t="shared" si="10"/>
        <v>3.3235153288039582E-2</v>
      </c>
    </row>
    <row r="28" spans="2:19" s="6" customFormat="1" x14ac:dyDescent="0.3">
      <c r="B28" s="6" t="s">
        <v>296</v>
      </c>
      <c r="C28" s="146">
        <f>('Balance Sheet Input'!C24+'Balance Sheet Input'!C29)/1000</f>
        <v>2649.02</v>
      </c>
      <c r="D28" s="146">
        <f>('Balance Sheet Input'!D24+'Balance Sheet Input'!D29)/1000</f>
        <v>6844.26</v>
      </c>
      <c r="E28" s="146">
        <f>('Balance Sheet Input'!E24+'Balance Sheet Input'!E29)/1000</f>
        <v>10212.249</v>
      </c>
      <c r="F28" s="146">
        <f>('Balance Sheet Input'!F24+'Balance Sheet Input'!F29)/1000</f>
        <v>11971.370999999999</v>
      </c>
      <c r="G28" s="146">
        <f>('Balance Sheet Input'!G24+'Balance Sheet Input'!G29)/1000</f>
        <v>13419</v>
      </c>
      <c r="H28" s="185">
        <f>G28+'Tesla Financing '!H19</f>
        <v>13419</v>
      </c>
      <c r="I28" s="185">
        <f>H28+'Tesla Financing '!I19</f>
        <v>13419</v>
      </c>
      <c r="J28" s="185">
        <f>I28+'Tesla Financing '!J19</f>
        <v>13419</v>
      </c>
      <c r="K28" s="185">
        <f>J28+'Tesla Financing '!K19</f>
        <v>13419</v>
      </c>
      <c r="L28" s="185">
        <f>K28+'Tesla Financing '!L19</f>
        <v>13419</v>
      </c>
      <c r="M28" s="185">
        <f>L28+'Tesla Financing '!M19</f>
        <v>13419</v>
      </c>
      <c r="N28" s="185">
        <f>M28+'Tesla Financing '!N19</f>
        <v>13419</v>
      </c>
      <c r="O28" s="185">
        <f>N28+'Tesla Financing '!O19</f>
        <v>13419</v>
      </c>
      <c r="P28" s="185">
        <f>O28+'Tesla Financing '!P19</f>
        <v>13419</v>
      </c>
      <c r="Q28" s="185">
        <f>P28+'Tesla Financing '!Q19</f>
        <v>13419</v>
      </c>
      <c r="S28" s="6" t="s">
        <v>297</v>
      </c>
    </row>
    <row r="29" spans="2:19" s="6" customFormat="1" x14ac:dyDescent="0.3">
      <c r="B29" s="6" t="s">
        <v>97</v>
      </c>
      <c r="C29" s="190">
        <f>('Balance Sheet Input'!C30+'Balance Sheet Input'!C26)/1000</f>
        <v>2152.107</v>
      </c>
      <c r="D29" s="190">
        <f>('Balance Sheet Input'!D30+'Balance Sheet Input'!D26)/1000</f>
        <v>5604.8720000000003</v>
      </c>
      <c r="E29" s="190">
        <f>('Balance Sheet Input'!E30+'Balance Sheet Input'!E26)/1000</f>
        <v>6430.4139999999998</v>
      </c>
      <c r="F29" s="190">
        <f>('Balance Sheet Input'!F30+'Balance Sheet Input'!F26)/1000</f>
        <v>4586.1660000000002</v>
      </c>
      <c r="G29" s="190">
        <f>('Balance Sheet Input'!G30+'Balance Sheet Input'!G26)/1000</f>
        <v>4541</v>
      </c>
      <c r="H29" s="185">
        <f>H30*'P&amp;L '!H5</f>
        <v>7648.7087069640702</v>
      </c>
      <c r="I29" s="185">
        <f>I30*'P&amp;L '!I5</f>
        <v>10161.887774573852</v>
      </c>
      <c r="J29" s="185">
        <f>J30*'P&amp;L '!J5</f>
        <v>13817.655800591203</v>
      </c>
      <c r="K29" s="185">
        <f>K30*'P&amp;L '!K5</f>
        <v>17782.905596034569</v>
      </c>
      <c r="L29" s="185">
        <f>L30*'P&amp;L '!L5</f>
        <v>20331.104355077783</v>
      </c>
      <c r="M29" s="185">
        <f>M30*'P&amp;L '!M5</f>
        <v>21788.898597951564</v>
      </c>
      <c r="N29" s="185">
        <f>N30*'P&amp;L '!N5</f>
        <v>23224.026708862479</v>
      </c>
      <c r="O29" s="185">
        <f>O30*'P&amp;L '!O5</f>
        <v>24686.053659617621</v>
      </c>
      <c r="P29" s="185">
        <f>P30*'P&amp;L '!P5</f>
        <v>25912.3928578411</v>
      </c>
      <c r="Q29" s="185">
        <f>Q30*'P&amp;L '!Q5</f>
        <v>27020.38270730546</v>
      </c>
      <c r="S29" s="6" t="s">
        <v>289</v>
      </c>
    </row>
    <row r="30" spans="2:19" s="6" customFormat="1" x14ac:dyDescent="0.3">
      <c r="B30" s="139" t="s">
        <v>290</v>
      </c>
      <c r="C30" s="140">
        <f>C29/'P&amp;L '!C5</f>
        <v>0.53190650082488367</v>
      </c>
      <c r="D30" s="140">
        <f>D29/'P&amp;L '!D5</f>
        <v>0.80068090144585857</v>
      </c>
      <c r="E30" s="140">
        <f>E29/'P&amp;L '!E5</f>
        <v>0.54686199240038336</v>
      </c>
      <c r="F30" s="140">
        <f>F29/'P&amp;L '!F5</f>
        <v>0.21369501559740089</v>
      </c>
      <c r="G30" s="140">
        <f>G29/'P&amp;L '!G5</f>
        <v>0.18475872731711288</v>
      </c>
      <c r="H30" s="194">
        <f>AVERAGE($F$30:$G$30)</f>
        <v>0.19922687145725687</v>
      </c>
      <c r="I30" s="194">
        <f t="shared" ref="I30:Q30" si="11">AVERAGE($F$30:$G$30)</f>
        <v>0.19922687145725687</v>
      </c>
      <c r="J30" s="194">
        <f t="shared" si="11"/>
        <v>0.19922687145725687</v>
      </c>
      <c r="K30" s="194">
        <f t="shared" si="11"/>
        <v>0.19922687145725687</v>
      </c>
      <c r="L30" s="194">
        <f t="shared" si="11"/>
        <v>0.19922687145725687</v>
      </c>
      <c r="M30" s="194">
        <f t="shared" si="11"/>
        <v>0.19922687145725687</v>
      </c>
      <c r="N30" s="194">
        <f t="shared" si="11"/>
        <v>0.19922687145725687</v>
      </c>
      <c r="O30" s="194">
        <f t="shared" si="11"/>
        <v>0.19922687145725687</v>
      </c>
      <c r="P30" s="194">
        <f t="shared" si="11"/>
        <v>0.19922687145725687</v>
      </c>
      <c r="Q30" s="194">
        <f t="shared" si="11"/>
        <v>0.19922687145725687</v>
      </c>
    </row>
    <row r="31" spans="2:19" s="6" customFormat="1" ht="16.2" x14ac:dyDescent="0.3">
      <c r="B31" s="48" t="s">
        <v>98</v>
      </c>
      <c r="C31" s="191">
        <f>C19+C20+C22+C24+C26+C28+C29</f>
        <v>6984.2349999999997</v>
      </c>
      <c r="D31" s="191">
        <f t="shared" ref="D31:G31" si="12">D19+D20+D22+D24+D26+D28+D29</f>
        <v>17125.990000000002</v>
      </c>
      <c r="E31" s="191">
        <f t="shared" si="12"/>
        <v>23420.784</v>
      </c>
      <c r="F31" s="191">
        <f t="shared" si="12"/>
        <v>23981.973999999998</v>
      </c>
      <c r="G31" s="191">
        <f t="shared" si="12"/>
        <v>26842</v>
      </c>
      <c r="H31" s="195">
        <f t="shared" ref="H31:L31" si="13">H19+H20+H22+H24+H26+H28+H29</f>
        <v>36320.33088209352</v>
      </c>
      <c r="I31" s="195">
        <f t="shared" si="13"/>
        <v>43950.525983397092</v>
      </c>
      <c r="J31" s="195">
        <f t="shared" si="13"/>
        <v>55002.37594325102</v>
      </c>
      <c r="K31" s="195">
        <f t="shared" si="13"/>
        <v>66997.402871562401</v>
      </c>
      <c r="L31" s="195">
        <f t="shared" si="13"/>
        <v>74665.427128830663</v>
      </c>
      <c r="M31" s="195">
        <f>M19+M20+M22+M24+M26+M28+M29</f>
        <v>79079.10896026378</v>
      </c>
      <c r="N31" s="195">
        <f>N19+N20+N22+N24+N26+N28+N29</f>
        <v>83422.447798096153</v>
      </c>
      <c r="O31" s="195">
        <f>O19+O20+O22+O24+O26+O28+O29</f>
        <v>87850.378473773497</v>
      </c>
      <c r="P31" s="195">
        <f>P19+P20+P22+P24+P26+P28+P29</f>
        <v>91559.525154101226</v>
      </c>
      <c r="Q31" s="195">
        <f>Q19+Q20+Q22+Q24+Q26+Q28+Q29</f>
        <v>94916.735109511326</v>
      </c>
    </row>
    <row r="32" spans="2:19" s="6" customFormat="1" ht="16.2" x14ac:dyDescent="0.3">
      <c r="B32" s="48" t="s">
        <v>256</v>
      </c>
      <c r="C32" s="191">
        <f>('Balance Sheet Input'!C32+'Balance Sheet Input'!C33)/1000</f>
        <v>1083.704</v>
      </c>
      <c r="D32" s="191">
        <f>('Balance Sheet Input'!D32+'Balance Sheet Input'!D33)/1000</f>
        <v>5538.0860000000002</v>
      </c>
      <c r="E32" s="191">
        <f>('Balance Sheet Input'!E32+'Balance Sheet Input'!E33)/1000</f>
        <v>5234.5879999999997</v>
      </c>
      <c r="F32" s="191">
        <f>('Balance Sheet Input'!F32+'Balance Sheet Input'!F33)/1000</f>
        <v>5757.64</v>
      </c>
      <c r="G32" s="191">
        <f>('Balance Sheet Input'!G32+'Balance Sheet Input'!G33)/1000</f>
        <v>7467</v>
      </c>
      <c r="H32" s="195">
        <f>G32+'Tesla Financing '!H20+'P&amp;L '!H14</f>
        <v>9978.0622939258756</v>
      </c>
      <c r="I32" s="195">
        <f>H32+'Tesla Financing '!I20+'P&amp;L '!I14</f>
        <v>13116.467214422075</v>
      </c>
      <c r="J32" s="195">
        <f>I32+'Tesla Financing '!J20+'P&amp;L '!J14</f>
        <v>17314.886286241286</v>
      </c>
      <c r="K32" s="195">
        <f>J32+'Tesla Financing '!K20+'P&amp;L '!K14</f>
        <v>22639.457088145864</v>
      </c>
      <c r="L32" s="195">
        <f>K32+'Tesla Financing '!L20+'P&amp;L '!L14</f>
        <v>28813.509687176753</v>
      </c>
      <c r="M32" s="195">
        <f>L32+'Tesla Financing '!M20+'P&amp;L '!M14</f>
        <v>35389.742766816424</v>
      </c>
      <c r="N32" s="195">
        <f>M32+'Tesla Financing '!N20+'P&amp;L '!N14</f>
        <v>42367.255788872688</v>
      </c>
      <c r="O32" s="195">
        <f>N32+'Tesla Financing '!O20+'P&amp;L '!O14</f>
        <v>49743.650146609398</v>
      </c>
      <c r="P32" s="195">
        <f>O32+'Tesla Financing '!P20+'P&amp;L '!P14</f>
        <v>57470.121614991454</v>
      </c>
      <c r="Q32" s="195">
        <f>P32+'Tesla Financing '!Q20+'P&amp;L '!Q14</f>
        <v>65494.132877183816</v>
      </c>
    </row>
    <row r="33" spans="2:17" s="6" customFormat="1" x14ac:dyDescent="0.3"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</row>
    <row r="34" spans="2:17" s="6" customFormat="1" ht="16.8" thickBot="1" x14ac:dyDescent="0.4">
      <c r="B34" s="60" t="s">
        <v>298</v>
      </c>
      <c r="C34" s="61">
        <f>C31+C32</f>
        <v>8067.9389999999994</v>
      </c>
      <c r="D34" s="61">
        <f t="shared" ref="D34:G34" si="14">D31+D32</f>
        <v>22664.076000000001</v>
      </c>
      <c r="E34" s="61">
        <f t="shared" si="14"/>
        <v>28655.371999999999</v>
      </c>
      <c r="F34" s="61">
        <f t="shared" si="14"/>
        <v>29739.613999999998</v>
      </c>
      <c r="G34" s="61">
        <f t="shared" si="14"/>
        <v>34309</v>
      </c>
      <c r="H34" s="132">
        <f t="shared" ref="H34:L34" si="15">H31+H32</f>
        <v>46298.393176019395</v>
      </c>
      <c r="I34" s="132">
        <f t="shared" si="15"/>
        <v>57066.993197819167</v>
      </c>
      <c r="J34" s="132">
        <f t="shared" si="15"/>
        <v>72317.262229492306</v>
      </c>
      <c r="K34" s="132">
        <f t="shared" si="15"/>
        <v>89636.859959708265</v>
      </c>
      <c r="L34" s="132">
        <f t="shared" si="15"/>
        <v>103478.93681600742</v>
      </c>
      <c r="M34" s="132">
        <f>M31+M32</f>
        <v>114468.85172708021</v>
      </c>
      <c r="N34" s="132">
        <f>N31+N32</f>
        <v>125789.70358696884</v>
      </c>
      <c r="O34" s="132">
        <f>O31+O32</f>
        <v>137594.02862038289</v>
      </c>
      <c r="P34" s="132">
        <f>P31+P32</f>
        <v>149029.64676909268</v>
      </c>
      <c r="Q34" s="132">
        <f>Q31+Q32</f>
        <v>160410.86798669514</v>
      </c>
    </row>
    <row r="35" spans="2:17" s="6" customFormat="1" x14ac:dyDescent="0.3"/>
    <row r="36" spans="2:17" s="6" customFormat="1" ht="16.2" x14ac:dyDescent="0.3">
      <c r="B36" s="7" t="s">
        <v>280</v>
      </c>
      <c r="C36" s="193">
        <f>C17-C34</f>
        <v>0</v>
      </c>
      <c r="D36" s="193">
        <f t="shared" ref="D36:Q36" si="16">D17-D34</f>
        <v>0</v>
      </c>
      <c r="E36" s="193">
        <f t="shared" si="16"/>
        <v>0</v>
      </c>
      <c r="F36" s="193">
        <f t="shared" si="16"/>
        <v>0</v>
      </c>
      <c r="G36" s="193">
        <f t="shared" si="16"/>
        <v>0</v>
      </c>
      <c r="H36" s="193">
        <f t="shared" si="16"/>
        <v>0</v>
      </c>
      <c r="I36" s="193">
        <f t="shared" si="16"/>
        <v>0</v>
      </c>
      <c r="J36" s="193">
        <f t="shared" si="16"/>
        <v>0</v>
      </c>
      <c r="K36" s="193">
        <f t="shared" si="16"/>
        <v>0</v>
      </c>
      <c r="L36" s="193">
        <f t="shared" si="16"/>
        <v>0</v>
      </c>
      <c r="M36" s="193">
        <f t="shared" si="16"/>
        <v>0</v>
      </c>
      <c r="N36" s="193">
        <f t="shared" si="16"/>
        <v>0</v>
      </c>
      <c r="O36" s="193">
        <f t="shared" si="16"/>
        <v>0</v>
      </c>
      <c r="P36" s="193">
        <f t="shared" si="16"/>
        <v>0</v>
      </c>
      <c r="Q36" s="193">
        <f t="shared" si="16"/>
        <v>0</v>
      </c>
    </row>
    <row r="37" spans="2:17" s="6" customFormat="1" x14ac:dyDescent="0.3">
      <c r="H37" s="193"/>
      <c r="I37" s="193"/>
      <c r="J37" s="193"/>
    </row>
    <row r="38" spans="2:17" s="6" customFormat="1" x14ac:dyDescent="0.3"/>
    <row r="39" spans="2:17" s="6" customFormat="1" x14ac:dyDescent="0.3"/>
    <row r="40" spans="2:17" s="6" customFormat="1" x14ac:dyDescent="0.3"/>
  </sheetData>
  <mergeCells count="1">
    <mergeCell ref="B3:Q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B943-FD4F-477F-B01D-0B053DC5D98D}">
  <dimension ref="A1:Q33"/>
  <sheetViews>
    <sheetView showGridLines="0" workbookViewId="0"/>
  </sheetViews>
  <sheetFormatPr defaultRowHeight="15.6" x14ac:dyDescent="0.3"/>
  <cols>
    <col min="1" max="1" width="4.5546875" style="42" customWidth="1"/>
    <col min="2" max="2" width="28.21875" style="42" bestFit="1" customWidth="1"/>
    <col min="3" max="7" width="10" style="42" bestFit="1" customWidth="1"/>
    <col min="8" max="17" width="11.21875" style="42" bestFit="1" customWidth="1"/>
    <col min="18" max="16384" width="8.88671875" style="42"/>
  </cols>
  <sheetData>
    <row r="1" spans="1:17" ht="21" x14ac:dyDescent="0.4">
      <c r="B1" s="71" t="s">
        <v>371</v>
      </c>
      <c r="C1" s="14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6.2" x14ac:dyDescent="0.35">
      <c r="B2" s="142"/>
      <c r="C2" s="14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6.2" x14ac:dyDescent="0.3">
      <c r="B3" s="265" t="s">
        <v>260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</row>
    <row r="4" spans="1:17" ht="32.4" x14ac:dyDescent="0.35">
      <c r="B4" s="18" t="s">
        <v>200</v>
      </c>
      <c r="C4" s="19" t="s">
        <v>17</v>
      </c>
      <c r="D4" s="19" t="s">
        <v>18</v>
      </c>
      <c r="E4" s="19" t="s">
        <v>19</v>
      </c>
      <c r="F4" s="19" t="s">
        <v>20</v>
      </c>
      <c r="G4" s="19" t="s">
        <v>21</v>
      </c>
      <c r="H4" s="57" t="s">
        <v>104</v>
      </c>
      <c r="I4" s="57" t="s">
        <v>105</v>
      </c>
      <c r="J4" s="57" t="s">
        <v>106</v>
      </c>
      <c r="K4" s="57" t="s">
        <v>107</v>
      </c>
      <c r="L4" s="57" t="s">
        <v>108</v>
      </c>
      <c r="M4" s="57" t="s">
        <v>109</v>
      </c>
      <c r="N4" s="57" t="s">
        <v>110</v>
      </c>
      <c r="O4" s="57" t="s">
        <v>111</v>
      </c>
      <c r="P4" s="57" t="s">
        <v>112</v>
      </c>
      <c r="Q4" s="57" t="s">
        <v>113</v>
      </c>
    </row>
    <row r="5" spans="1:17" x14ac:dyDescent="0.3">
      <c r="B5" s="197" t="s">
        <v>33</v>
      </c>
      <c r="C5" s="198"/>
      <c r="D5" s="199">
        <f>'P&amp;L '!D9</f>
        <v>-667.3400000000006</v>
      </c>
      <c r="E5" s="199">
        <f>'P&amp;L '!E9</f>
        <v>-1632.0859999999989</v>
      </c>
      <c r="F5" s="199">
        <f>'P&amp;L '!F9</f>
        <v>-388.07300000000305</v>
      </c>
      <c r="G5" s="199">
        <f>'P&amp;L '!G9</f>
        <v>-69</v>
      </c>
      <c r="H5" s="200">
        <f>'P&amp;L '!H9</f>
        <v>3681.6140257289571</v>
      </c>
      <c r="I5" s="200">
        <f>'P&amp;L '!I9</f>
        <v>4475.7186163243023</v>
      </c>
      <c r="J5" s="200">
        <f>'P&amp;L '!J9</f>
        <v>5817.5086812901427</v>
      </c>
      <c r="K5" s="200">
        <f>'P&amp;L '!K9</f>
        <v>7243.0172003855387</v>
      </c>
      <c r="L5" s="200">
        <f>'P&amp;L '!L9</f>
        <v>8318.3106144694812</v>
      </c>
      <c r="M5" s="200">
        <f>'P&amp;L '!M9</f>
        <v>8827.3998304299639</v>
      </c>
      <c r="N5" s="200">
        <f>'P&amp;L '!N9</f>
        <v>9335.3491246281828</v>
      </c>
      <c r="O5" s="200">
        <f>'P&amp;L '!O9</f>
        <v>9840.262207767988</v>
      </c>
      <c r="P5" s="200">
        <f>'P&amp;L '!P9</f>
        <v>10283.397790863361</v>
      </c>
      <c r="Q5" s="200">
        <f>'P&amp;L '!Q9</f>
        <v>10660.030441256149</v>
      </c>
    </row>
    <row r="6" spans="1:17" x14ac:dyDescent="0.3">
      <c r="B6" s="197" t="str">
        <f>CONCATENATE("Operating taxes (",([1]Drivers!$C$12*100),"%)")</f>
        <v>Operating taxes (21%)</v>
      </c>
      <c r="C6" s="201"/>
      <c r="D6" s="199">
        <f>'P&amp;L '!D12</f>
        <v>-26.698</v>
      </c>
      <c r="E6" s="199">
        <f>'P&amp;L '!E12</f>
        <v>-31.545999999999999</v>
      </c>
      <c r="F6" s="199">
        <f>'P&amp;L '!F12</f>
        <v>-57.837000000000003</v>
      </c>
      <c r="G6" s="199">
        <f>'P&amp;L '!G12</f>
        <v>-110</v>
      </c>
      <c r="H6" s="152">
        <f>-H5*Drivers!$C$12</f>
        <v>-773.13894540308092</v>
      </c>
      <c r="I6" s="152">
        <f>-I5*Drivers!$C$12</f>
        <v>-939.90090942810343</v>
      </c>
      <c r="J6" s="152">
        <f>-J5*Drivers!$C$12</f>
        <v>-1221.6768230709299</v>
      </c>
      <c r="K6" s="152">
        <f>-K5*Drivers!$C$12</f>
        <v>-1521.0336120809632</v>
      </c>
      <c r="L6" s="152">
        <f>-L5*Drivers!$C$12</f>
        <v>-1746.845229038591</v>
      </c>
      <c r="M6" s="152">
        <f>-M5*Drivers!$C$12</f>
        <v>-1853.7539643902924</v>
      </c>
      <c r="N6" s="152">
        <f>-N5*Drivers!$C$12</f>
        <v>-1960.4233161719183</v>
      </c>
      <c r="O6" s="152">
        <f>-O5*Drivers!$C$12</f>
        <v>-2066.4550636312774</v>
      </c>
      <c r="P6" s="152">
        <f>-P5*Drivers!$C$12</f>
        <v>-2159.5135360813056</v>
      </c>
      <c r="Q6" s="152">
        <f>-Q5*Drivers!$C$12</f>
        <v>-2238.6063926637912</v>
      </c>
    </row>
    <row r="7" spans="1:17" ht="16.2" x14ac:dyDescent="0.35">
      <c r="B7" s="202" t="s">
        <v>299</v>
      </c>
      <c r="C7" s="203"/>
      <c r="D7" s="204">
        <f>SUM(D5:D6)</f>
        <v>-694.03800000000058</v>
      </c>
      <c r="E7" s="204">
        <f t="shared" ref="E7:Q7" si="0">SUM(E5:E6)</f>
        <v>-1663.6319999999989</v>
      </c>
      <c r="F7" s="204">
        <f t="shared" si="0"/>
        <v>-445.91000000000304</v>
      </c>
      <c r="G7" s="204">
        <f t="shared" si="0"/>
        <v>-179</v>
      </c>
      <c r="H7" s="205">
        <f t="shared" si="0"/>
        <v>2908.4750803258762</v>
      </c>
      <c r="I7" s="205">
        <f t="shared" si="0"/>
        <v>3535.8177068961986</v>
      </c>
      <c r="J7" s="205">
        <f t="shared" si="0"/>
        <v>4595.8318582192132</v>
      </c>
      <c r="K7" s="205">
        <f t="shared" si="0"/>
        <v>5721.9835883045753</v>
      </c>
      <c r="L7" s="205">
        <f t="shared" si="0"/>
        <v>6571.4653854308899</v>
      </c>
      <c r="M7" s="205">
        <f t="shared" si="0"/>
        <v>6973.6458660396711</v>
      </c>
      <c r="N7" s="205">
        <f t="shared" si="0"/>
        <v>7374.9258084562643</v>
      </c>
      <c r="O7" s="205">
        <f t="shared" si="0"/>
        <v>7773.8071441367101</v>
      </c>
      <c r="P7" s="205">
        <f t="shared" si="0"/>
        <v>8123.884254782055</v>
      </c>
      <c r="Q7" s="205">
        <f t="shared" si="0"/>
        <v>8421.4240485923583</v>
      </c>
    </row>
    <row r="8" spans="1:17" x14ac:dyDescent="0.3">
      <c r="B8" s="197" t="s">
        <v>300</v>
      </c>
      <c r="C8" s="198"/>
      <c r="D8" s="199">
        <f>-'Tesla PP&amp;E'!D9</f>
        <v>947</v>
      </c>
      <c r="E8" s="199">
        <f>-'Tesla PP&amp;E'!E9</f>
        <v>1636</v>
      </c>
      <c r="F8" s="199">
        <f>-'Tesla PP&amp;E'!F9</f>
        <v>1901</v>
      </c>
      <c r="G8" s="199">
        <f>-'Tesla PP&amp;E'!G9</f>
        <v>2154</v>
      </c>
      <c r="H8" s="200">
        <f>-'Tesla PP&amp;E'!H9</f>
        <v>1239.232800292471</v>
      </c>
      <c r="I8" s="200">
        <f>-'Tesla PP&amp;E'!I9</f>
        <v>1453.4039841352951</v>
      </c>
      <c r="J8" s="200">
        <f>-'Tesla PP&amp;E'!J9</f>
        <v>1680.7926385837177</v>
      </c>
      <c r="K8" s="200">
        <f>-'Tesla PP&amp;E'!K9</f>
        <v>1919.5703847281118</v>
      </c>
      <c r="L8" s="200">
        <f>-'Tesla PP&amp;E'!L9</f>
        <v>2167.3390398607257</v>
      </c>
      <c r="M8" s="200">
        <f>-'Tesla PP&amp;E'!M9</f>
        <v>2421.06725085883</v>
      </c>
      <c r="N8" s="200">
        <f>-'Tesla PP&amp;E'!N9</f>
        <v>2677.0271180479849</v>
      </c>
      <c r="O8" s="200">
        <f>-'Tesla PP&amp;E'!O9</f>
        <v>2930.7320247196135</v>
      </c>
      <c r="P8" s="200">
        <f>-'Tesla PP&amp;E'!P9</f>
        <v>3176.8770976731171</v>
      </c>
      <c r="Q8" s="200">
        <f>-'Tesla PP&amp;E'!Q9</f>
        <v>3530.3112337195862</v>
      </c>
    </row>
    <row r="9" spans="1:17" ht="16.2" x14ac:dyDescent="0.35">
      <c r="B9" s="202" t="s">
        <v>301</v>
      </c>
      <c r="C9" s="203"/>
      <c r="D9" s="204">
        <f>SUM(D7:D8)</f>
        <v>252.96199999999942</v>
      </c>
      <c r="E9" s="204">
        <f>SUM(E7:E8)</f>
        <v>-27.631999999998925</v>
      </c>
      <c r="F9" s="204">
        <f t="shared" ref="F9:Q9" si="1">SUM(F7:F8)</f>
        <v>1455.089999999997</v>
      </c>
      <c r="G9" s="204">
        <f t="shared" si="1"/>
        <v>1975</v>
      </c>
      <c r="H9" s="205">
        <f t="shared" si="1"/>
        <v>4147.7078806183472</v>
      </c>
      <c r="I9" s="205">
        <f t="shared" si="1"/>
        <v>4989.2216910314937</v>
      </c>
      <c r="J9" s="205">
        <f t="shared" si="1"/>
        <v>6276.6244968029314</v>
      </c>
      <c r="K9" s="205">
        <f t="shared" si="1"/>
        <v>7641.5539730326873</v>
      </c>
      <c r="L9" s="205">
        <f t="shared" si="1"/>
        <v>8738.8044252916152</v>
      </c>
      <c r="M9" s="205">
        <f t="shared" si="1"/>
        <v>9394.7131168985015</v>
      </c>
      <c r="N9" s="205">
        <f t="shared" si="1"/>
        <v>10051.952926504249</v>
      </c>
      <c r="O9" s="205">
        <f t="shared" si="1"/>
        <v>10704.539168856323</v>
      </c>
      <c r="P9" s="205">
        <f t="shared" si="1"/>
        <v>11300.761352455173</v>
      </c>
      <c r="Q9" s="205">
        <f t="shared" si="1"/>
        <v>11951.735282311944</v>
      </c>
    </row>
    <row r="10" spans="1:17" s="5" customFormat="1" x14ac:dyDescent="0.3">
      <c r="A10" s="42"/>
      <c r="B10" s="197"/>
      <c r="C10" s="198"/>
      <c r="D10" s="199"/>
      <c r="E10" s="199"/>
      <c r="F10" s="199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</row>
    <row r="11" spans="1:17" x14ac:dyDescent="0.3">
      <c r="B11" s="197" t="s">
        <v>251</v>
      </c>
      <c r="C11" s="201"/>
      <c r="D11" s="199">
        <f>-('Balance Sheet '!D7-'Balance Sheet '!C7)</f>
        <v>-330.17700000000002</v>
      </c>
      <c r="E11" s="199">
        <f>-('Balance Sheet '!E7-'Balance Sheet '!D7)</f>
        <v>-16.238999999999976</v>
      </c>
      <c r="F11" s="199">
        <f>-('Balance Sheet '!F7-'Balance Sheet '!E7)</f>
        <v>-433.64100000000008</v>
      </c>
      <c r="G11" s="199">
        <f>-('Balance Sheet '!G7-'Balance Sheet '!F7)</f>
        <v>-374.97799999999995</v>
      </c>
      <c r="H11" s="200">
        <f>-('Balance Sheet '!H7-'Balance Sheet '!G7)</f>
        <v>-633.87059536662264</v>
      </c>
      <c r="I11" s="200">
        <f>-('Balance Sheet '!I7-'Balance Sheet '!H7)</f>
        <v>-643.3085094329781</v>
      </c>
      <c r="J11" s="200">
        <f>-('Balance Sheet '!J7-'Balance Sheet '!I7)</f>
        <v>-935.78158037369212</v>
      </c>
      <c r="K11" s="200">
        <f>-('Balance Sheet '!K7-'Balance Sheet '!J7)</f>
        <v>-1015.0008681483109</v>
      </c>
      <c r="L11" s="200">
        <f>-('Balance Sheet '!L7-'Balance Sheet '!K7)</f>
        <v>-652.27264007818121</v>
      </c>
      <c r="M11" s="200">
        <f>-('Balance Sheet '!M7-'Balance Sheet '!L7)</f>
        <v>-373.15742977878472</v>
      </c>
      <c r="N11" s="200">
        <f>-('Balance Sheet '!N7-'Balance Sheet '!M7)</f>
        <v>-367.35548921849204</v>
      </c>
      <c r="O11" s="200">
        <f>-('Balance Sheet '!O7-'Balance Sheet '!N7)</f>
        <v>-374.24089296416605</v>
      </c>
      <c r="P11" s="200">
        <f>-('Balance Sheet '!P7-'Balance Sheet '!O7)</f>
        <v>-313.9109551866095</v>
      </c>
      <c r="Q11" s="200">
        <f>-('Balance Sheet '!Q7-'Balance Sheet '!P7)</f>
        <v>-283.61659847966712</v>
      </c>
    </row>
    <row r="12" spans="1:17" x14ac:dyDescent="0.3">
      <c r="B12" s="197" t="s">
        <v>75</v>
      </c>
      <c r="C12" s="201"/>
      <c r="D12" s="199">
        <f>-('Balance Sheet '!D8-'Balance Sheet '!C8)</f>
        <v>-789.61600000000021</v>
      </c>
      <c r="E12" s="199">
        <f>-('Balance Sheet '!E8-'Balance Sheet '!D8)</f>
        <v>-196.08299999999963</v>
      </c>
      <c r="F12" s="199">
        <f>-('Balance Sheet '!F8-'Balance Sheet '!E8)</f>
        <v>-849.90900000000011</v>
      </c>
      <c r="G12" s="199">
        <f>-('Balance Sheet '!G8-'Balance Sheet '!F8)</f>
        <v>-438.55400000000009</v>
      </c>
      <c r="H12" s="200">
        <f>-('Balance Sheet '!H8-'Balance Sheet '!G8)</f>
        <v>-4799.4201472431869</v>
      </c>
      <c r="I12" s="200">
        <f>-('Balance Sheet '!I8-'Balance Sheet '!H8)</f>
        <v>-2858.8839288181935</v>
      </c>
      <c r="J12" s="200">
        <f>-('Balance Sheet '!J8-'Balance Sheet '!I8)</f>
        <v>-4107.077743149719</v>
      </c>
      <c r="K12" s="200">
        <f>-('Balance Sheet '!K8-'Balance Sheet '!J8)</f>
        <v>-4463.017982257792</v>
      </c>
      <c r="L12" s="200">
        <f>-('Balance Sheet '!L8-'Balance Sheet '!K8)</f>
        <v>-2824.0953438273282</v>
      </c>
      <c r="M12" s="200">
        <f>-('Balance Sheet '!M8-'Balance Sheet '!L8)</f>
        <v>-1644.9356926159562</v>
      </c>
      <c r="N12" s="200">
        <f>-('Balance Sheet '!N8-'Balance Sheet '!M8)</f>
        <v>-1617.4880066721598</v>
      </c>
      <c r="O12" s="200">
        <f>-('Balance Sheet '!O8-'Balance Sheet '!N8)</f>
        <v>-1651.2738403098629</v>
      </c>
      <c r="P12" s="200">
        <f>-('Balance Sheet '!P8-'Balance Sheet '!O8)</f>
        <v>-1379.6586798772078</v>
      </c>
      <c r="Q12" s="200">
        <f>-('Balance Sheet '!Q8-'Balance Sheet '!P8)</f>
        <v>-1253.0709004787204</v>
      </c>
    </row>
    <row r="13" spans="1:17" x14ac:dyDescent="0.3">
      <c r="B13" s="197" t="s">
        <v>87</v>
      </c>
      <c r="C13" s="201"/>
      <c r="D13" s="199">
        <f>'Balance Sheet '!D19-'Balance Sheet '!C19</f>
        <v>944.19299999999987</v>
      </c>
      <c r="E13" s="199">
        <f>'Balance Sheet '!E19-'Balance Sheet '!D19</f>
        <v>529.90900000000011</v>
      </c>
      <c r="F13" s="199">
        <f>'Balance Sheet '!F19-'Balance Sheet '!E19</f>
        <v>1014.201</v>
      </c>
      <c r="G13" s="199">
        <f>'Balance Sheet '!G19-'Balance Sheet '!F19</f>
        <v>366.54899999999998</v>
      </c>
      <c r="H13" s="200">
        <f>'Balance Sheet '!H19-'Balance Sheet '!G19</f>
        <v>3894.1487748212348</v>
      </c>
      <c r="I13" s="200">
        <f>'Balance Sheet '!I19-'Balance Sheet '!H19</f>
        <v>2623.957393829678</v>
      </c>
      <c r="J13" s="200">
        <f>'Balance Sheet '!J19-'Balance Sheet '!I19</f>
        <v>3769.5818646355201</v>
      </c>
      <c r="K13" s="200">
        <f>'Balance Sheet '!K19-'Balance Sheet '!J19</f>
        <v>4096.2729949589648</v>
      </c>
      <c r="L13" s="200">
        <f>'Balance Sheet '!L19-'Balance Sheet '!K19</f>
        <v>2592.0275334084472</v>
      </c>
      <c r="M13" s="200">
        <f>'Balance Sheet '!M19-'Balance Sheet '!L19</f>
        <v>1509.7643977446241</v>
      </c>
      <c r="N13" s="200">
        <f>'Balance Sheet '!N19-'Balance Sheet '!M19</f>
        <v>1484.5722037734886</v>
      </c>
      <c r="O13" s="200">
        <f>'Balance Sheet '!O19-'Balance Sheet '!N19</f>
        <v>1515.5817131441654</v>
      </c>
      <c r="P13" s="200">
        <f>'Balance Sheet '!P19-'Balance Sheet '!O19</f>
        <v>1266.2863145764713</v>
      </c>
      <c r="Q13" s="200">
        <f>'Balance Sheet '!Q19-'Balance Sheet '!P19</f>
        <v>1150.1007862404294</v>
      </c>
    </row>
    <row r="14" spans="1:17" ht="16.2" x14ac:dyDescent="0.35">
      <c r="B14" s="206" t="s">
        <v>302</v>
      </c>
      <c r="C14" s="207"/>
      <c r="D14" s="208">
        <f>SUM(D11:D13)</f>
        <v>-175.60000000000025</v>
      </c>
      <c r="E14" s="208">
        <f t="shared" ref="E14:Q14" si="2">SUM(E11:E13)</f>
        <v>317.5870000000005</v>
      </c>
      <c r="F14" s="208">
        <f t="shared" si="2"/>
        <v>-269.34900000000016</v>
      </c>
      <c r="G14" s="209">
        <f t="shared" si="2"/>
        <v>-446.98300000000006</v>
      </c>
      <c r="H14" s="210">
        <f>SUM(H11:H13)</f>
        <v>-1539.1419677885751</v>
      </c>
      <c r="I14" s="210">
        <f t="shared" si="2"/>
        <v>-878.23504442149351</v>
      </c>
      <c r="J14" s="210">
        <f t="shared" si="2"/>
        <v>-1273.277458887891</v>
      </c>
      <c r="K14" s="210">
        <f t="shared" si="2"/>
        <v>-1381.7458554471377</v>
      </c>
      <c r="L14" s="210">
        <f>SUM(L11:L13)</f>
        <v>-884.34045049706219</v>
      </c>
      <c r="M14" s="210">
        <f t="shared" si="2"/>
        <v>-508.32872465011678</v>
      </c>
      <c r="N14" s="210">
        <f t="shared" si="2"/>
        <v>-500.27129211716328</v>
      </c>
      <c r="O14" s="210">
        <f t="shared" si="2"/>
        <v>-509.93302012986351</v>
      </c>
      <c r="P14" s="210">
        <f t="shared" si="2"/>
        <v>-427.28332048734592</v>
      </c>
      <c r="Q14" s="210">
        <f t="shared" si="2"/>
        <v>-386.58671271795811</v>
      </c>
    </row>
    <row r="15" spans="1:17" ht="16.2" x14ac:dyDescent="0.35">
      <c r="B15" s="211"/>
      <c r="C15" s="201"/>
      <c r="D15" s="199"/>
      <c r="E15" s="199"/>
      <c r="F15" s="199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</row>
    <row r="16" spans="1:17" x14ac:dyDescent="0.3">
      <c r="B16" s="212" t="s">
        <v>236</v>
      </c>
      <c r="C16" s="201"/>
      <c r="D16" s="199">
        <f>-'Tesla PP&amp;E'!D8</f>
        <v>-3526.6230000000005</v>
      </c>
      <c r="E16" s="199">
        <f>-'Tesla PP&amp;E'!E8</f>
        <v>-5680.5650000000005</v>
      </c>
      <c r="F16" s="199">
        <f>-'Tesla PP&amp;E'!F8</f>
        <v>-3203.5549999999985</v>
      </c>
      <c r="G16" s="199">
        <f>-'Tesla PP&amp;E'!G8</f>
        <v>-1219.9230000000007</v>
      </c>
      <c r="H16" s="200">
        <f>-'Tesla PP&amp;E'!H8</f>
        <v>-1996.328002924711</v>
      </c>
      <c r="I16" s="200">
        <f>-'Tesla PP&amp;E'!I8</f>
        <v>-2141.7118384282408</v>
      </c>
      <c r="J16" s="200">
        <f>-'Tesla PP&amp;E'!J8</f>
        <v>-2273.8865444842268</v>
      </c>
      <c r="K16" s="200">
        <f>-'Tesla PP&amp;E'!K8</f>
        <v>-2387.77746144394</v>
      </c>
      <c r="L16" s="200">
        <f>-'Tesla PP&amp;E'!L8</f>
        <v>-2477.6865513261378</v>
      </c>
      <c r="M16" s="200">
        <f>-'Tesla PP&amp;E'!M8</f>
        <v>-2537.2821099810435</v>
      </c>
      <c r="N16" s="200">
        <f>-'Tesla PP&amp;E'!N8</f>
        <v>-2559.5986718915497</v>
      </c>
      <c r="O16" s="200">
        <f>-'Tesla PP&amp;E'!O8</f>
        <v>-2537.0490667162871</v>
      </c>
      <c r="P16" s="200">
        <f>-'Tesla PP&amp;E'!P8</f>
        <v>-2461.4507295350372</v>
      </c>
      <c r="Q16" s="200">
        <f>-'Tesla PP&amp;E'!Q8</f>
        <v>-3534.3413604646889</v>
      </c>
    </row>
    <row r="17" spans="1:17" x14ac:dyDescent="0.3">
      <c r="B17" s="212" t="s">
        <v>85</v>
      </c>
      <c r="C17" s="201"/>
      <c r="D17" s="199">
        <f>-('Balance Sheet '!D6-'Balance Sheet '!C6)-('Balance Sheet '!D9-'Balance Sheet '!C9)-('Balance Sheet '!D11-'Balance Sheet '!C11)-('Balance Sheet '!D12-'Balance Sheet '!C12)-('Balance Sheet '!D14-'Balance Sheet '!C14)-('Balance Sheet '!D15-'Balance Sheet '!C15)</f>
        <v>-8700.4130000000005</v>
      </c>
      <c r="E17" s="199">
        <f>-('Balance Sheet '!E6-'Balance Sheet '!D6)-('Balance Sheet '!E9-'Balance Sheet '!D9)-('Balance Sheet '!E11-'Balance Sheet '!D11)-('Balance Sheet '!E12-'Balance Sheet '!D12)-('Balance Sheet '!E14-'Balance Sheet '!D14)-('Balance Sheet '!E15-'Balance Sheet '!D15)</f>
        <v>-1759.7109999999998</v>
      </c>
      <c r="F17" s="199">
        <f>-('Balance Sheet '!F6-'Balance Sheet '!E6)-('Balance Sheet '!F9-'Balance Sheet '!E9)-('Balance Sheet '!F11-'Balance Sheet '!E11)-('Balance Sheet '!F12-'Balance Sheet '!E12)-('Balance Sheet '!F14-'Balance Sheet '!E14)-('Balance Sheet '!F15-'Balance Sheet '!E15)</f>
        <v>1819.5670000000005</v>
      </c>
      <c r="G17" s="199">
        <f>-('Balance Sheet '!G6-'Balance Sheet '!F6)-('Balance Sheet '!G9-'Balance Sheet '!F9)-('Balance Sheet '!G11-'Balance Sheet '!F11)-('Balance Sheet '!G12-'Balance Sheet '!F12)-('Balance Sheet '!G14-'Balance Sheet '!F14)-('Balance Sheet '!G15-'Balance Sheet '!F15)</f>
        <v>-2107.5490000000004</v>
      </c>
      <c r="H17" s="200">
        <f>-('Balance Sheet '!H6-'Balance Sheet '!G6)-('Balance Sheet '!H9-'Balance Sheet '!G9)-('Balance Sheet '!H11-'Balance Sheet '!G11)-('Balance Sheet '!H12-'Balance Sheet '!G12)-('Balance Sheet '!H14-'Balance Sheet '!G14)-('Balance Sheet '!H15-'Balance Sheet '!G15)</f>
        <v>-1111.2089060240564</v>
      </c>
      <c r="I17" s="200">
        <f>-('Balance Sheet '!I6-'Balance Sheet '!H6)-('Balance Sheet '!I9-'Balance Sheet '!H9)-('Balance Sheet '!I11-'Balance Sheet '!H11)-('Balance Sheet '!I12-'Balance Sheet '!H12)-('Balance Sheet '!I14-'Balance Sheet '!H14)-('Balance Sheet '!I15-'Balance Sheet '!H15)</f>
        <v>-1147.4546434680092</v>
      </c>
      <c r="J17" s="200">
        <f>-('Balance Sheet '!J6-'Balance Sheet '!I6)-('Balance Sheet '!J9-'Balance Sheet '!I9)-('Balance Sheet '!J11-'Balance Sheet '!I11)-('Balance Sheet '!J12-'Balance Sheet '!I12)-('Balance Sheet '!J14-'Balance Sheet '!I14)-('Balance Sheet '!J15-'Balance Sheet '!I15)</f>
        <v>-1669.1321565419046</v>
      </c>
      <c r="K17" s="200">
        <f>-('Balance Sheet '!K6-'Balance Sheet '!J6)-('Balance Sheet '!K9-'Balance Sheet '!J9)-('Balance Sheet '!K11-'Balance Sheet '!J11)-('Balance Sheet '!K12-'Balance Sheet '!J12)-('Balance Sheet '!K14-'Balance Sheet '!J14)-('Balance Sheet '!K15-'Balance Sheet '!J15)</f>
        <v>-1810.4337844176748</v>
      </c>
      <c r="L17" s="200">
        <f>-('Balance Sheet '!L6-'Balance Sheet '!K6)-('Balance Sheet '!L9-'Balance Sheet '!K9)-('Balance Sheet '!L11-'Balance Sheet '!K11)-('Balance Sheet '!L12-'Balance Sheet '!K12)-('Balance Sheet '!L14-'Balance Sheet '!K14)-('Balance Sheet '!L15-'Balance Sheet '!K15)</f>
        <v>-1163.4437578395232</v>
      </c>
      <c r="M17" s="200">
        <f>-('Balance Sheet '!M6-'Balance Sheet '!L6)-('Balance Sheet '!M9-'Balance Sheet '!L9)-('Balance Sheet '!M11-'Balance Sheet '!L11)-('Balance Sheet '!M12-'Balance Sheet '!L12)-('Balance Sheet '!M14-'Balance Sheet '!L14)-('Balance Sheet '!M15-'Balance Sheet '!L15)</f>
        <v>-665.5923546257136</v>
      </c>
      <c r="N17" s="200">
        <f>-('Balance Sheet '!N6-'Balance Sheet '!M6)-('Balance Sheet '!N9-'Balance Sheet '!M9)-('Balance Sheet '!N11-'Balance Sheet '!M11)-('Balance Sheet '!N12-'Balance Sheet '!M12)-('Balance Sheet '!N14-'Balance Sheet '!M14)-('Balance Sheet '!N15-'Balance Sheet '!M15)</f>
        <v>-655.24356623039102</v>
      </c>
      <c r="O17" s="200">
        <f>-('Balance Sheet '!O6-'Balance Sheet '!N6)-('Balance Sheet '!O9-'Balance Sheet '!N9)-('Balance Sheet '!O11-'Balance Sheet '!N11)-('Balance Sheet '!O12-'Balance Sheet '!N12)-('Balance Sheet '!O14-'Balance Sheet '!N14)-('Balance Sheet '!O15-'Balance Sheet '!N15)</f>
        <v>-667.52490307620246</v>
      </c>
      <c r="P17" s="200">
        <f>-('Balance Sheet '!P6-'Balance Sheet '!O6)-('Balance Sheet '!P9-'Balance Sheet '!O9)-('Balance Sheet '!P11-'Balance Sheet '!O11)-('Balance Sheet '!P12-'Balance Sheet '!O12)-('Balance Sheet '!P14-'Balance Sheet '!O14)-('Balance Sheet '!P15-'Balance Sheet '!O15)</f>
        <v>-559.91577584110928</v>
      </c>
      <c r="Q17" s="200">
        <f>-('Balance Sheet '!Q6-'Balance Sheet '!P6)-('Balance Sheet '!Q9-'Balance Sheet '!P9)-('Balance Sheet '!Q11-'Balance Sheet '!P11)-('Balance Sheet '!Q12-'Balance Sheet '!P12)-('Balance Sheet '!Q14-'Balance Sheet '!P14)-('Balance Sheet '!Q15-'Balance Sheet '!P15)</f>
        <v>-505.88042613790549</v>
      </c>
    </row>
    <row r="18" spans="1:17" x14ac:dyDescent="0.3">
      <c r="B18" s="197" t="s">
        <v>303</v>
      </c>
      <c r="C18" s="201"/>
      <c r="D18" s="199">
        <f>('Balance Sheet '!D20-'Balance Sheet '!C20)+('Balance Sheet '!D22-'Balance Sheet '!C22)+('Balance Sheet '!D24-'Balance Sheet '!C24)+('Balance Sheet '!D26-'Balance Sheet '!C26)+('Balance Sheet '!D29-'Balance Sheet '!C29)</f>
        <v>5002.3220000000001</v>
      </c>
      <c r="E18" s="199">
        <f>('Balance Sheet '!E20-'Balance Sheet '!D20)+('Balance Sheet '!E22-'Balance Sheet '!D22)+('Balance Sheet '!E24-'Balance Sheet '!D24)+('Balance Sheet '!E26-'Balance Sheet '!D26)+('Balance Sheet '!E29-'Balance Sheet '!D29)</f>
        <v>2396.8959999999993</v>
      </c>
      <c r="F18" s="199">
        <f>('Balance Sheet '!F20-'Balance Sheet '!E20)+('Balance Sheet '!F22-'Balance Sheet '!E22)+('Balance Sheet '!F24-'Balance Sheet '!E24)+('Balance Sheet '!F26-'Balance Sheet '!E26)+('Balance Sheet '!F29-'Balance Sheet '!E29)</f>
        <v>-2212.1329999999994</v>
      </c>
      <c r="G18" s="199">
        <f>('Balance Sheet '!G20-'Balance Sheet '!F20)+('Balance Sheet '!G22-'Balance Sheet '!F22)+('Balance Sheet '!G24-'Balance Sheet '!F24)+('Balance Sheet '!G26-'Balance Sheet '!F26)+('Balance Sheet '!G29-'Balance Sheet '!F29)</f>
        <v>1045.848</v>
      </c>
      <c r="H18" s="200">
        <f>('Balance Sheet '!H20-'Balance Sheet '!G20)+('Balance Sheet '!H22-'Balance Sheet '!G22)+('Balance Sheet '!H24-'Balance Sheet '!G24)+('Balance Sheet '!H26-'Balance Sheet '!G26)+('Balance Sheet '!H29-'Balance Sheet '!G29)</f>
        <v>5584.1821072722869</v>
      </c>
      <c r="I18" s="200">
        <f>('Balance Sheet '!I20-'Balance Sheet '!H20)+('Balance Sheet '!I22-'Balance Sheet '!H22)+('Balance Sheet '!I24-'Balance Sheet '!H24)+('Balance Sheet '!I26-'Balance Sheet '!H26)+('Balance Sheet '!I29-'Balance Sheet '!H29)</f>
        <v>5006.2377074738924</v>
      </c>
      <c r="J18" s="200">
        <f>('Balance Sheet '!J20-'Balance Sheet '!I20)+('Balance Sheet '!J22-'Balance Sheet '!I22)+('Balance Sheet '!J24-'Balance Sheet '!I24)+('Balance Sheet '!J26-'Balance Sheet '!I26)+('Balance Sheet '!J29-'Balance Sheet '!I29)</f>
        <v>7282.2680952184091</v>
      </c>
      <c r="K18" s="200">
        <f>('Balance Sheet '!K20-'Balance Sheet '!J20)+('Balance Sheet '!K22-'Balance Sheet '!J22)+('Balance Sheet '!K24-'Balance Sheet '!J24)+('Balance Sheet '!K26-'Balance Sheet '!J26)+('Balance Sheet '!K29-'Balance Sheet '!J29)</f>
        <v>7898.753933352411</v>
      </c>
      <c r="L18" s="200">
        <f>('Balance Sheet '!L20-'Balance Sheet '!K20)+('Balance Sheet '!L22-'Balance Sheet '!K22)+('Balance Sheet '!L24-'Balance Sheet '!K24)+('Balance Sheet '!L26-'Balance Sheet '!K26)+('Balance Sheet '!L29-'Balance Sheet '!K29)</f>
        <v>5075.9967238598174</v>
      </c>
      <c r="M18" s="200">
        <f>('Balance Sheet '!M20-'Balance Sheet '!L20)+('Balance Sheet '!M22-'Balance Sheet '!L22)+('Balance Sheet '!M24-'Balance Sheet '!L24)+('Balance Sheet '!M26-'Balance Sheet '!L26)+('Balance Sheet '!M29-'Balance Sheet '!L29)</f>
        <v>2903.9174336885076</v>
      </c>
      <c r="N18" s="200">
        <f>('Balance Sheet '!N20-'Balance Sheet '!M20)+('Balance Sheet '!N22-'Balance Sheet '!M22)+('Balance Sheet '!N24-'Balance Sheet '!M24)+('Balance Sheet '!N26-'Balance Sheet '!M26)+('Balance Sheet '!N29-'Balance Sheet '!M29)</f>
        <v>2858.7666340588585</v>
      </c>
      <c r="O18" s="200">
        <f>('Balance Sheet '!O20-'Balance Sheet '!N20)+('Balance Sheet '!O22-'Balance Sheet '!N22)+('Balance Sheet '!O24-'Balance Sheet '!N24)+('Balance Sheet '!O26-'Balance Sheet '!N26)+('Balance Sheet '!O29-'Balance Sheet '!N29)</f>
        <v>2912.3489625331858</v>
      </c>
      <c r="P18" s="200">
        <f>('Balance Sheet '!P20-'Balance Sheet '!O20)+('Balance Sheet '!P22-'Balance Sheet '!O22)+('Balance Sheet '!P24-'Balance Sheet '!O24)+('Balance Sheet '!P26-'Balance Sheet '!O26)+('Balance Sheet '!P29-'Balance Sheet '!O29)</f>
        <v>2442.8603657512749</v>
      </c>
      <c r="Q18" s="200">
        <f>('Balance Sheet '!Q20-'Balance Sheet '!P20)+('Balance Sheet '!Q22-'Balance Sheet '!P22)+('Balance Sheet '!Q24-'Balance Sheet '!P24)+('Balance Sheet '!Q26-'Balance Sheet '!P26)+('Balance Sheet '!Q29-'Balance Sheet '!P29)</f>
        <v>2207.1091691696593</v>
      </c>
    </row>
    <row r="19" spans="1:17" x14ac:dyDescent="0.3">
      <c r="B19" s="197"/>
      <c r="C19" s="201"/>
      <c r="D19" s="213"/>
      <c r="E19" s="213"/>
      <c r="F19" s="213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</row>
    <row r="20" spans="1:17" ht="16.8" thickBot="1" x14ac:dyDescent="0.4">
      <c r="B20" s="214" t="s">
        <v>261</v>
      </c>
      <c r="C20" s="215"/>
      <c r="D20" s="216">
        <f>D9+D14+D17+D18+D16</f>
        <v>-7147.3520000000017</v>
      </c>
      <c r="E20" s="216">
        <f t="shared" ref="E20:Q20" si="3">E9+E14+E17+E18+E16</f>
        <v>-4753.4249999999993</v>
      </c>
      <c r="F20" s="216">
        <f t="shared" si="3"/>
        <v>-2410.3800000000006</v>
      </c>
      <c r="G20" s="216">
        <f t="shared" si="3"/>
        <v>-753.60700000000134</v>
      </c>
      <c r="H20" s="216">
        <f t="shared" si="3"/>
        <v>5085.2111111532922</v>
      </c>
      <c r="I20" s="216">
        <f t="shared" si="3"/>
        <v>5828.0578721876427</v>
      </c>
      <c r="J20" s="216">
        <f t="shared" si="3"/>
        <v>8342.5964321073188</v>
      </c>
      <c r="K20" s="216">
        <f t="shared" si="3"/>
        <v>9960.3508050763448</v>
      </c>
      <c r="L20" s="216">
        <f t="shared" si="3"/>
        <v>9289.3303894887085</v>
      </c>
      <c r="M20" s="216">
        <f t="shared" si="3"/>
        <v>8587.4273613301375</v>
      </c>
      <c r="N20" s="216">
        <f t="shared" si="3"/>
        <v>9195.6060303240029</v>
      </c>
      <c r="O20" s="216">
        <f t="shared" si="3"/>
        <v>9902.3811414671563</v>
      </c>
      <c r="P20" s="216">
        <f t="shared" si="3"/>
        <v>10294.971892342954</v>
      </c>
      <c r="Q20" s="216">
        <f t="shared" si="3"/>
        <v>9732.0359521610517</v>
      </c>
    </row>
    <row r="21" spans="1:17" s="5" customFormat="1" x14ac:dyDescent="0.3">
      <c r="A21" s="42"/>
      <c r="B21" s="197"/>
      <c r="C21" s="217"/>
      <c r="D21" s="213"/>
      <c r="E21" s="213"/>
      <c r="F21" s="213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</row>
    <row r="22" spans="1:17" x14ac:dyDescent="0.3">
      <c r="B22" s="197" t="s">
        <v>304</v>
      </c>
      <c r="C22" s="217"/>
      <c r="D22" s="199">
        <f>'P&amp;L '!D10</f>
        <v>-79.007999999999996</v>
      </c>
      <c r="E22" s="199">
        <f>'P&amp;L '!E10</f>
        <v>-576.94600000000003</v>
      </c>
      <c r="F22" s="199">
        <f>'P&amp;L '!F10</f>
        <v>-616.67200000000003</v>
      </c>
      <c r="G22" s="199">
        <f>'P&amp;L '!G10</f>
        <v>-596</v>
      </c>
      <c r="H22" s="200">
        <f>'P&amp;L '!H10</f>
        <v>-503.05416000000002</v>
      </c>
      <c r="I22" s="200">
        <f>'P&amp;L '!I10</f>
        <v>-503.05416000000002</v>
      </c>
      <c r="J22" s="200">
        <f>'P&amp;L '!J10</f>
        <v>-503.05416000000002</v>
      </c>
      <c r="K22" s="200">
        <f>'P&amp;L '!K10</f>
        <v>-503.05416000000002</v>
      </c>
      <c r="L22" s="200">
        <f>'P&amp;L '!L10</f>
        <v>-503.05416000000002</v>
      </c>
      <c r="M22" s="200">
        <f>'P&amp;L '!M10</f>
        <v>-503.05416000000002</v>
      </c>
      <c r="N22" s="200">
        <f>'P&amp;L '!N10</f>
        <v>-503.05416000000002</v>
      </c>
      <c r="O22" s="200">
        <f>'P&amp;L '!O10</f>
        <v>-503.05416000000002</v>
      </c>
      <c r="P22" s="200">
        <f>'P&amp;L '!P10</f>
        <v>-503.05416000000002</v>
      </c>
      <c r="Q22" s="200">
        <f>'P&amp;L '!Q10</f>
        <v>-503.05416000000002</v>
      </c>
    </row>
    <row r="23" spans="1:17" x14ac:dyDescent="0.3">
      <c r="B23" s="197" t="s">
        <v>305</v>
      </c>
      <c r="C23" s="217"/>
      <c r="D23" s="199">
        <f>'Balance Sheet '!D28-'Balance Sheet '!C28</f>
        <v>4195.24</v>
      </c>
      <c r="E23" s="199">
        <f>'Balance Sheet '!E28-'Balance Sheet '!D28</f>
        <v>3367.9889999999996</v>
      </c>
      <c r="F23" s="199">
        <f>'Balance Sheet '!F28-'Balance Sheet '!E28</f>
        <v>1759.1219999999994</v>
      </c>
      <c r="G23" s="199">
        <f>'Balance Sheet '!G28-'Balance Sheet '!F28</f>
        <v>1447.6290000000008</v>
      </c>
      <c r="H23" s="200">
        <f>'Balance Sheet '!H28-'Balance Sheet '!G28</f>
        <v>0</v>
      </c>
      <c r="I23" s="200">
        <f>'Balance Sheet '!I28-'Balance Sheet '!H28</f>
        <v>0</v>
      </c>
      <c r="J23" s="200">
        <f>'Balance Sheet '!J28-'Balance Sheet '!I28</f>
        <v>0</v>
      </c>
      <c r="K23" s="200">
        <f>'Balance Sheet '!K28-'Balance Sheet '!J28</f>
        <v>0</v>
      </c>
      <c r="L23" s="200">
        <f>'Balance Sheet '!L28-'Balance Sheet '!K28</f>
        <v>0</v>
      </c>
      <c r="M23" s="200">
        <f>'Balance Sheet '!M28-'Balance Sheet '!L28</f>
        <v>0</v>
      </c>
      <c r="N23" s="200">
        <f>'Balance Sheet '!N28-'Balance Sheet '!M28</f>
        <v>0</v>
      </c>
      <c r="O23" s="200">
        <f>'Balance Sheet '!O28-'Balance Sheet '!N28</f>
        <v>0</v>
      </c>
      <c r="P23" s="200">
        <f>'Balance Sheet '!P28-'Balance Sheet '!O28</f>
        <v>0</v>
      </c>
      <c r="Q23" s="200">
        <f>'Balance Sheet '!Q28-'Balance Sheet '!P28</f>
        <v>0</v>
      </c>
    </row>
    <row r="24" spans="1:17" x14ac:dyDescent="0.3">
      <c r="B24" s="197" t="s">
        <v>306</v>
      </c>
      <c r="C24" s="217"/>
      <c r="D24" s="199">
        <f>'Balance Sheet '!D32-'Balance Sheet '!C32-'P&amp;L '!D14</f>
        <v>5129.2960000000012</v>
      </c>
      <c r="E24" s="199">
        <f>'Balance Sheet '!E32-'Balance Sheet '!D32-'P&amp;L '!E14</f>
        <v>1657.9019999999982</v>
      </c>
      <c r="F24" s="199">
        <f>'Balance Sheet '!F32-'Balance Sheet '!E32-'P&amp;L '!F14</f>
        <v>1499.1430000000037</v>
      </c>
      <c r="G24" s="199">
        <f>'Balance Sheet '!G32-'Balance Sheet '!F32-'P&amp;L '!G14</f>
        <v>2571.3599999999997</v>
      </c>
      <c r="H24" s="200">
        <f>'Balance Sheet '!H32-'Balance Sheet '!G32-'P&amp;L '!H14</f>
        <v>0</v>
      </c>
      <c r="I24" s="200">
        <f>'Balance Sheet '!I32-'Balance Sheet '!H32-'P&amp;L '!I14</f>
        <v>0</v>
      </c>
      <c r="J24" s="200">
        <f>'Balance Sheet '!J32-'Balance Sheet '!I32-'P&amp;L '!J14</f>
        <v>0</v>
      </c>
      <c r="K24" s="200">
        <f>'Balance Sheet '!K32-'Balance Sheet '!J32-'P&amp;L '!K14</f>
        <v>0</v>
      </c>
      <c r="L24" s="200">
        <f>'Balance Sheet '!L32-'Balance Sheet '!K32-'P&amp;L '!L14</f>
        <v>0</v>
      </c>
      <c r="M24" s="200">
        <f>'Balance Sheet '!M32-'Balance Sheet '!L32-'P&amp;L '!M14</f>
        <v>0</v>
      </c>
      <c r="N24" s="200">
        <f>'Balance Sheet '!N32-'Balance Sheet '!M32-'P&amp;L '!N14</f>
        <v>0</v>
      </c>
      <c r="O24" s="200">
        <f>'Balance Sheet '!O32-'Balance Sheet '!N32-'P&amp;L '!O14</f>
        <v>0</v>
      </c>
      <c r="P24" s="200">
        <f>'Balance Sheet '!P32-'Balance Sheet '!O32-'P&amp;L '!P14</f>
        <v>0</v>
      </c>
      <c r="Q24" s="200">
        <f>'Balance Sheet '!Q32-'Balance Sheet '!P32-'P&amp;L '!Q14</f>
        <v>0</v>
      </c>
    </row>
    <row r="25" spans="1:17" x14ac:dyDescent="0.3">
      <c r="B25" s="197" t="s">
        <v>307</v>
      </c>
      <c r="C25" s="217"/>
      <c r="D25" s="199">
        <f>'P&amp;L '!D12-'Cash Flow '!D6</f>
        <v>0</v>
      </c>
      <c r="E25" s="199">
        <f>'P&amp;L '!E12-'Cash Flow '!E6</f>
        <v>0</v>
      </c>
      <c r="F25" s="199">
        <f>'P&amp;L '!F12-'Cash Flow '!F6</f>
        <v>0</v>
      </c>
      <c r="G25" s="199">
        <f>'P&amp;L '!G12-'Cash Flow '!G6</f>
        <v>0</v>
      </c>
      <c r="H25" s="200">
        <f>'P&amp;L '!H12-'Cash Flow '!H6</f>
        <v>105.64137359999995</v>
      </c>
      <c r="I25" s="200">
        <f>'P&amp;L '!I12-'Cash Flow '!I6</f>
        <v>105.64137360000007</v>
      </c>
      <c r="J25" s="200">
        <f>'P&amp;L '!J12-'Cash Flow '!J6</f>
        <v>105.64137359999995</v>
      </c>
      <c r="K25" s="200">
        <f>'P&amp;L '!K12-'Cash Flow '!K6</f>
        <v>105.64137359999995</v>
      </c>
      <c r="L25" s="200">
        <f>'P&amp;L '!L12-'Cash Flow '!L6</f>
        <v>105.64137359999995</v>
      </c>
      <c r="M25" s="200">
        <f>'P&amp;L '!M12-'Cash Flow '!M6</f>
        <v>105.64137359999995</v>
      </c>
      <c r="N25" s="200">
        <f>'P&amp;L '!N12-'Cash Flow '!N6</f>
        <v>105.64137359999995</v>
      </c>
      <c r="O25" s="200">
        <f>'P&amp;L '!O12-'Cash Flow '!O6</f>
        <v>105.64137359999995</v>
      </c>
      <c r="P25" s="200">
        <f>'P&amp;L '!P12-'Cash Flow '!P6</f>
        <v>105.64137359999995</v>
      </c>
      <c r="Q25" s="200">
        <f>'P&amp;L '!Q12-'Cash Flow '!Q6</f>
        <v>105.64137359999995</v>
      </c>
    </row>
    <row r="26" spans="1:17" x14ac:dyDescent="0.3">
      <c r="B26" s="197" t="s">
        <v>278</v>
      </c>
      <c r="C26" s="217"/>
      <c r="D26" s="199">
        <f>'P&amp;L '!D13</f>
        <v>98.132000000000005</v>
      </c>
      <c r="E26" s="199">
        <f>'P&amp;L '!E13</f>
        <v>279.178</v>
      </c>
      <c r="F26" s="199">
        <f>'P&amp;L '!F13</f>
        <v>86.491</v>
      </c>
      <c r="G26" s="199">
        <f>'P&amp;L '!G13</f>
        <v>-87</v>
      </c>
      <c r="H26" s="200">
        <f>'P&amp;L '!H13</f>
        <v>0</v>
      </c>
      <c r="I26" s="200">
        <f>'P&amp;L '!I13</f>
        <v>0</v>
      </c>
      <c r="J26" s="200">
        <f>'P&amp;L '!J13</f>
        <v>0</v>
      </c>
      <c r="K26" s="200">
        <f>'P&amp;L '!K13</f>
        <v>0</v>
      </c>
      <c r="L26" s="200">
        <f>'P&amp;L '!L13</f>
        <v>0</v>
      </c>
      <c r="M26" s="200">
        <f>'P&amp;L '!M13</f>
        <v>0</v>
      </c>
      <c r="N26" s="200">
        <f>'P&amp;L '!N13</f>
        <v>0</v>
      </c>
      <c r="O26" s="200">
        <f>'P&amp;L '!O13</f>
        <v>0</v>
      </c>
      <c r="P26" s="200">
        <f>'P&amp;L '!P13</f>
        <v>0</v>
      </c>
      <c r="Q26" s="200">
        <f>'P&amp;L '!Q13</f>
        <v>0</v>
      </c>
    </row>
    <row r="27" spans="1:17" x14ac:dyDescent="0.3">
      <c r="B27" s="197"/>
      <c r="C27" s="217"/>
      <c r="D27" s="213"/>
      <c r="E27" s="213"/>
      <c r="F27" s="213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</row>
    <row r="28" spans="1:17" ht="16.8" thickBot="1" x14ac:dyDescent="0.4">
      <c r="B28" s="214" t="s">
        <v>308</v>
      </c>
      <c r="C28" s="218"/>
      <c r="D28" s="216">
        <f>SUM(D20:D26)</f>
        <v>2196.3079999999995</v>
      </c>
      <c r="E28" s="216">
        <f>SUM(E20:E26)</f>
        <v>-25.302000000001385</v>
      </c>
      <c r="F28" s="216">
        <f t="shared" ref="F28:Q28" si="4">SUM(F20:F26)</f>
        <v>317.70400000000245</v>
      </c>
      <c r="G28" s="216">
        <f t="shared" si="4"/>
        <v>2582.3819999999992</v>
      </c>
      <c r="H28" s="216">
        <f t="shared" si="4"/>
        <v>4687.798324753292</v>
      </c>
      <c r="I28" s="216">
        <f t="shared" si="4"/>
        <v>5430.6450857876434</v>
      </c>
      <c r="J28" s="216">
        <f t="shared" si="4"/>
        <v>7945.1836457073186</v>
      </c>
      <c r="K28" s="216">
        <f t="shared" si="4"/>
        <v>9562.9380186763447</v>
      </c>
      <c r="L28" s="216">
        <f t="shared" si="4"/>
        <v>8891.9176030887083</v>
      </c>
      <c r="M28" s="216">
        <f t="shared" si="4"/>
        <v>8190.0145749301373</v>
      </c>
      <c r="N28" s="216">
        <f t="shared" si="4"/>
        <v>8798.1932439240027</v>
      </c>
      <c r="O28" s="216">
        <f t="shared" si="4"/>
        <v>9504.9683550671562</v>
      </c>
      <c r="P28" s="216">
        <f t="shared" si="4"/>
        <v>9897.5591059429535</v>
      </c>
      <c r="Q28" s="216">
        <f t="shared" si="4"/>
        <v>9334.6231657610515</v>
      </c>
    </row>
    <row r="29" spans="1:17" x14ac:dyDescent="0.3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3">
      <c r="B30" s="219" t="s">
        <v>309</v>
      </c>
      <c r="C30" s="219"/>
      <c r="D30" s="219">
        <f>C32</f>
        <v>1196.9079999999999</v>
      </c>
      <c r="E30" s="219">
        <f t="shared" ref="E30:Q30" si="5">D32</f>
        <v>3393.2159999999994</v>
      </c>
      <c r="F30" s="219">
        <f t="shared" si="5"/>
        <v>3367.9139999999979</v>
      </c>
      <c r="G30" s="219">
        <f t="shared" si="5"/>
        <v>3685.6180000000004</v>
      </c>
      <c r="H30" s="219">
        <f>G32</f>
        <v>6268</v>
      </c>
      <c r="I30" s="219">
        <f t="shared" si="5"/>
        <v>10955.798324753292</v>
      </c>
      <c r="J30" s="219">
        <f t="shared" si="5"/>
        <v>16386.443410540935</v>
      </c>
      <c r="K30" s="219">
        <f t="shared" si="5"/>
        <v>24331.627056248253</v>
      </c>
      <c r="L30" s="219">
        <f t="shared" si="5"/>
        <v>33894.565074924598</v>
      </c>
      <c r="M30" s="219">
        <f t="shared" si="5"/>
        <v>42786.482678013308</v>
      </c>
      <c r="N30" s="219">
        <f t="shared" si="5"/>
        <v>50976.497252943445</v>
      </c>
      <c r="O30" s="219">
        <f t="shared" si="5"/>
        <v>59774.69049686745</v>
      </c>
      <c r="P30" s="219">
        <f t="shared" si="5"/>
        <v>69279.658851934611</v>
      </c>
      <c r="Q30" s="219">
        <f t="shared" si="5"/>
        <v>79177.217957877569</v>
      </c>
    </row>
    <row r="31" spans="1:17" x14ac:dyDescent="0.3">
      <c r="B31" s="219" t="s">
        <v>308</v>
      </c>
      <c r="C31" s="219">
        <f t="shared" ref="C31" si="6">C28</f>
        <v>0</v>
      </c>
      <c r="D31" s="219">
        <f>D28</f>
        <v>2196.3079999999995</v>
      </c>
      <c r="E31" s="219">
        <f t="shared" ref="E31:Q31" si="7">E28</f>
        <v>-25.302000000001385</v>
      </c>
      <c r="F31" s="219">
        <f t="shared" si="7"/>
        <v>317.70400000000245</v>
      </c>
      <c r="G31" s="219">
        <f t="shared" si="7"/>
        <v>2582.3819999999992</v>
      </c>
      <c r="H31" s="219">
        <f t="shared" si="7"/>
        <v>4687.798324753292</v>
      </c>
      <c r="I31" s="219">
        <f t="shared" si="7"/>
        <v>5430.6450857876434</v>
      </c>
      <c r="J31" s="219">
        <f t="shared" si="7"/>
        <v>7945.1836457073186</v>
      </c>
      <c r="K31" s="219">
        <f t="shared" si="7"/>
        <v>9562.9380186763447</v>
      </c>
      <c r="L31" s="219">
        <f t="shared" si="7"/>
        <v>8891.9176030887083</v>
      </c>
      <c r="M31" s="219">
        <f t="shared" si="7"/>
        <v>8190.0145749301373</v>
      </c>
      <c r="N31" s="219">
        <f t="shared" si="7"/>
        <v>8798.1932439240027</v>
      </c>
      <c r="O31" s="219">
        <f t="shared" si="7"/>
        <v>9504.9683550671562</v>
      </c>
      <c r="P31" s="219">
        <f t="shared" si="7"/>
        <v>9897.5591059429535</v>
      </c>
      <c r="Q31" s="219">
        <f t="shared" si="7"/>
        <v>9334.6231657610515</v>
      </c>
    </row>
    <row r="32" spans="1:17" x14ac:dyDescent="0.3">
      <c r="B32" s="219" t="s">
        <v>310</v>
      </c>
      <c r="C32" s="219">
        <f>'Balance Sheet '!C5</f>
        <v>1196.9079999999999</v>
      </c>
      <c r="D32" s="219">
        <f>D30+D31</f>
        <v>3393.2159999999994</v>
      </c>
      <c r="E32" s="219">
        <f t="shared" ref="E32:Q32" si="8">E30+E31</f>
        <v>3367.9139999999979</v>
      </c>
      <c r="F32" s="219">
        <f t="shared" si="8"/>
        <v>3685.6180000000004</v>
      </c>
      <c r="G32" s="219">
        <f t="shared" si="8"/>
        <v>6268</v>
      </c>
      <c r="H32" s="219">
        <f t="shared" si="8"/>
        <v>10955.798324753292</v>
      </c>
      <c r="I32" s="219">
        <f t="shared" si="8"/>
        <v>16386.443410540935</v>
      </c>
      <c r="J32" s="219">
        <f t="shared" si="8"/>
        <v>24331.627056248253</v>
      </c>
      <c r="K32" s="219">
        <f t="shared" si="8"/>
        <v>33894.565074924598</v>
      </c>
      <c r="L32" s="219">
        <f t="shared" si="8"/>
        <v>42786.482678013308</v>
      </c>
      <c r="M32" s="219">
        <f t="shared" si="8"/>
        <v>50976.497252943445</v>
      </c>
      <c r="N32" s="219">
        <f t="shared" si="8"/>
        <v>59774.69049686745</v>
      </c>
      <c r="O32" s="219">
        <f t="shared" si="8"/>
        <v>69279.658851934611</v>
      </c>
      <c r="P32" s="219">
        <f t="shared" si="8"/>
        <v>79177.217957877569</v>
      </c>
      <c r="Q32" s="219">
        <f t="shared" si="8"/>
        <v>88511.841123638616</v>
      </c>
    </row>
    <row r="33" spans="1:17" x14ac:dyDescent="0.3">
      <c r="A33" s="5"/>
      <c r="B33" s="219"/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</row>
  </sheetData>
  <mergeCells count="1">
    <mergeCell ref="B3:Q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310D-B405-406A-B008-618082635ADD}">
  <sheetPr>
    <tabColor rgb="FF002060"/>
  </sheetPr>
  <dimension ref="B13"/>
  <sheetViews>
    <sheetView showGridLines="0" workbookViewId="0"/>
  </sheetViews>
  <sheetFormatPr defaultRowHeight="14.4" x14ac:dyDescent="0.3"/>
  <sheetData>
    <row r="13" spans="2:2" ht="61.8" x14ac:dyDescent="1.1499999999999999">
      <c r="B13" s="41" t="s">
        <v>372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1961-5376-4334-AA25-8D770766229B}">
  <dimension ref="B1:Q24"/>
  <sheetViews>
    <sheetView workbookViewId="0"/>
  </sheetViews>
  <sheetFormatPr defaultColWidth="9.109375" defaultRowHeight="15.6" x14ac:dyDescent="0.3"/>
  <cols>
    <col min="1" max="1" width="5" style="5" customWidth="1"/>
    <col min="2" max="2" width="27.109375" style="5" bestFit="1" customWidth="1"/>
    <col min="3" max="4" width="10.21875" style="5" bestFit="1" customWidth="1"/>
    <col min="5" max="7" width="11" style="5" bestFit="1" customWidth="1"/>
    <col min="8" max="8" width="13.77734375" style="5" customWidth="1"/>
    <col min="9" max="9" width="13.21875" style="5" customWidth="1"/>
    <col min="10" max="10" width="13.44140625" style="5" customWidth="1"/>
    <col min="11" max="11" width="12.77734375" style="5" customWidth="1"/>
    <col min="12" max="12" width="12.44140625" style="5" bestFit="1" customWidth="1"/>
    <col min="13" max="13" width="12.88671875" style="5" customWidth="1"/>
    <col min="14" max="14" width="13.109375" style="5" customWidth="1"/>
    <col min="15" max="15" width="12.77734375" style="5" customWidth="1"/>
    <col min="16" max="16" width="12.5546875" style="5" customWidth="1"/>
    <col min="17" max="17" width="12.21875" style="5" customWidth="1"/>
    <col min="18" max="16384" width="9.109375" style="5"/>
  </cols>
  <sheetData>
    <row r="1" spans="2:17" ht="21" x14ac:dyDescent="0.4">
      <c r="B1" s="71" t="s">
        <v>373</v>
      </c>
      <c r="C1" s="142"/>
    </row>
    <row r="4" spans="2:17" ht="16.2" x14ac:dyDescent="0.35">
      <c r="B4" s="5" t="s">
        <v>263</v>
      </c>
      <c r="C4" s="228">
        <f>Drivers!C7</f>
        <v>6.9699999999999996E-3</v>
      </c>
    </row>
    <row r="5" spans="2:17" ht="16.2" x14ac:dyDescent="0.35">
      <c r="B5" s="5" t="s">
        <v>264</v>
      </c>
      <c r="C5" s="228">
        <f>Drivers!C8</f>
        <v>0.05</v>
      </c>
    </row>
    <row r="6" spans="2:17" ht="16.2" x14ac:dyDescent="0.35">
      <c r="B6" s="5" t="s">
        <v>265</v>
      </c>
      <c r="C6" s="177">
        <f>Drivers!$C$9</f>
        <v>2.15</v>
      </c>
    </row>
    <row r="7" spans="2:17" ht="16.2" x14ac:dyDescent="0.35">
      <c r="B7" s="5" t="s">
        <v>266</v>
      </c>
      <c r="C7" s="229">
        <f>Drivers!C12</f>
        <v>0.21</v>
      </c>
    </row>
    <row r="9" spans="2:17" ht="16.2" x14ac:dyDescent="0.35">
      <c r="B9" s="142" t="s">
        <v>267</v>
      </c>
      <c r="C9" s="227">
        <f>C4+C6*C5</f>
        <v>0.11447</v>
      </c>
    </row>
    <row r="10" spans="2:17" ht="16.2" x14ac:dyDescent="0.35">
      <c r="B10" s="142" t="s">
        <v>268</v>
      </c>
      <c r="C10" s="227">
        <f>Drivers!C11</f>
        <v>4.3240000000000001E-2</v>
      </c>
    </row>
    <row r="13" spans="2:17" ht="16.2" x14ac:dyDescent="0.3">
      <c r="B13" s="265" t="s">
        <v>269</v>
      </c>
      <c r="C13" s="265"/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</row>
    <row r="14" spans="2:17" ht="48.6" x14ac:dyDescent="0.3">
      <c r="B14" s="114" t="s">
        <v>200</v>
      </c>
      <c r="C14" s="19" t="s">
        <v>220</v>
      </c>
      <c r="D14" s="19" t="s">
        <v>221</v>
      </c>
      <c r="E14" s="19" t="s">
        <v>222</v>
      </c>
      <c r="F14" s="19" t="s">
        <v>223</v>
      </c>
      <c r="G14" s="19" t="s">
        <v>224</v>
      </c>
      <c r="H14" s="57" t="s">
        <v>225</v>
      </c>
      <c r="I14" s="57" t="s">
        <v>226</v>
      </c>
      <c r="J14" s="57" t="s">
        <v>227</v>
      </c>
      <c r="K14" s="57" t="s">
        <v>228</v>
      </c>
      <c r="L14" s="57" t="s">
        <v>229</v>
      </c>
      <c r="M14" s="57" t="s">
        <v>230</v>
      </c>
      <c r="N14" s="57" t="s">
        <v>231</v>
      </c>
      <c r="O14" s="57" t="s">
        <v>232</v>
      </c>
      <c r="P14" s="57" t="s">
        <v>233</v>
      </c>
      <c r="Q14" s="57" t="s">
        <v>234</v>
      </c>
    </row>
    <row r="15" spans="2:17" x14ac:dyDescent="0.3">
      <c r="B15" s="5" t="s">
        <v>255</v>
      </c>
      <c r="C15" s="230">
        <f>'Balance Sheet '!C28</f>
        <v>2649.02</v>
      </c>
      <c r="D15" s="230">
        <f>'Balance Sheet '!D28</f>
        <v>6844.26</v>
      </c>
      <c r="E15" s="230">
        <f>'Balance Sheet '!E28</f>
        <v>10212.249</v>
      </c>
      <c r="F15" s="230">
        <f>'Balance Sheet '!F28</f>
        <v>11971.370999999999</v>
      </c>
      <c r="G15" s="230">
        <f>'Balance Sheet '!G28</f>
        <v>13419</v>
      </c>
      <c r="H15" s="231">
        <f>'Balance Sheet '!H28</f>
        <v>13419</v>
      </c>
      <c r="I15" s="231">
        <f>'Balance Sheet '!I28</f>
        <v>13419</v>
      </c>
      <c r="J15" s="231">
        <f>'Balance Sheet '!J28</f>
        <v>13419</v>
      </c>
      <c r="K15" s="231">
        <f>'Balance Sheet '!K28</f>
        <v>13419</v>
      </c>
      <c r="L15" s="231">
        <f>'Balance Sheet '!L28</f>
        <v>13419</v>
      </c>
      <c r="M15" s="231">
        <f>'Balance Sheet '!M28</f>
        <v>13419</v>
      </c>
      <c r="N15" s="231">
        <f>'Balance Sheet '!N28</f>
        <v>13419</v>
      </c>
      <c r="O15" s="231">
        <f>'Balance Sheet '!O28</f>
        <v>13419</v>
      </c>
      <c r="P15" s="231">
        <f>'Balance Sheet '!P28</f>
        <v>13419</v>
      </c>
      <c r="Q15" s="231">
        <f>'Balance Sheet '!Q28</f>
        <v>13419</v>
      </c>
    </row>
    <row r="16" spans="2:17" x14ac:dyDescent="0.3">
      <c r="B16" s="5" t="s">
        <v>256</v>
      </c>
      <c r="C16" s="230">
        <f>'Balance Sheet '!C32</f>
        <v>1083.704</v>
      </c>
      <c r="D16" s="230">
        <f>'Balance Sheet '!D32</f>
        <v>5538.0860000000002</v>
      </c>
      <c r="E16" s="230">
        <f>'Balance Sheet '!E32</f>
        <v>5234.5879999999997</v>
      </c>
      <c r="F16" s="230">
        <f>'Balance Sheet '!F32</f>
        <v>5757.64</v>
      </c>
      <c r="G16" s="230">
        <f>'Balance Sheet '!G32</f>
        <v>7467</v>
      </c>
      <c r="H16" s="231">
        <f>'Balance Sheet '!H32</f>
        <v>9978.0622939258756</v>
      </c>
      <c r="I16" s="231">
        <f>'Balance Sheet '!I32</f>
        <v>13116.467214422075</v>
      </c>
      <c r="J16" s="231">
        <f>'Balance Sheet '!J32</f>
        <v>17314.886286241286</v>
      </c>
      <c r="K16" s="231">
        <f>'Balance Sheet '!K32</f>
        <v>22639.457088145864</v>
      </c>
      <c r="L16" s="231">
        <f>'Balance Sheet '!L32</f>
        <v>28813.509687176753</v>
      </c>
      <c r="M16" s="231">
        <f>'Balance Sheet '!M32</f>
        <v>35389.742766816424</v>
      </c>
      <c r="N16" s="231">
        <f>'Balance Sheet '!N32</f>
        <v>42367.255788872688</v>
      </c>
      <c r="O16" s="231">
        <f>'Balance Sheet '!O32</f>
        <v>49743.650146609398</v>
      </c>
      <c r="P16" s="231">
        <f>'Balance Sheet '!P32</f>
        <v>57470.121614991454</v>
      </c>
      <c r="Q16" s="231">
        <f>'Balance Sheet '!Q32</f>
        <v>65494.132877183816</v>
      </c>
    </row>
    <row r="17" spans="2:17" x14ac:dyDescent="0.3">
      <c r="H17" s="220"/>
      <c r="I17" s="220"/>
      <c r="J17" s="220"/>
      <c r="K17" s="220"/>
      <c r="L17" s="220"/>
      <c r="M17" s="220"/>
      <c r="N17" s="220"/>
      <c r="O17" s="220"/>
      <c r="P17" s="220"/>
      <c r="Q17" s="220"/>
    </row>
    <row r="18" spans="2:17" x14ac:dyDescent="0.3">
      <c r="B18" s="5" t="s">
        <v>270</v>
      </c>
      <c r="C18" s="169">
        <f>C15/(C15+C16)</f>
        <v>0.70967475763008459</v>
      </c>
      <c r="D18" s="169">
        <f>D15/(D15+D16)</f>
        <v>0.55274339773739156</v>
      </c>
      <c r="E18" s="169">
        <f t="shared" ref="E18:Q18" si="0">E15/(E15+E16)</f>
        <v>0.66112233850852442</v>
      </c>
      <c r="F18" s="169">
        <f t="shared" si="0"/>
        <v>0.67524189589594141</v>
      </c>
      <c r="G18" s="169">
        <f t="shared" si="0"/>
        <v>0.6424877908646941</v>
      </c>
      <c r="H18" s="224">
        <f t="shared" si="0"/>
        <v>0.5735335415798638</v>
      </c>
      <c r="I18" s="224">
        <f t="shared" si="0"/>
        <v>0.50570053625084654</v>
      </c>
      <c r="J18" s="224">
        <f t="shared" si="0"/>
        <v>0.43661904241531979</v>
      </c>
      <c r="K18" s="224">
        <f t="shared" si="0"/>
        <v>0.37214570682258796</v>
      </c>
      <c r="L18" s="224">
        <f t="shared" si="0"/>
        <v>0.31774100330282934</v>
      </c>
      <c r="M18" s="224">
        <f t="shared" si="0"/>
        <v>0.2749302530513687</v>
      </c>
      <c r="N18" s="224">
        <f t="shared" si="0"/>
        <v>0.2405431196312085</v>
      </c>
      <c r="O18" s="224">
        <f t="shared" si="0"/>
        <v>0.2124515036790352</v>
      </c>
      <c r="P18" s="224">
        <f t="shared" si="0"/>
        <v>0.18929561679266432</v>
      </c>
      <c r="Q18" s="224">
        <f t="shared" si="0"/>
        <v>0.17004774124079719</v>
      </c>
    </row>
    <row r="19" spans="2:17" x14ac:dyDescent="0.3">
      <c r="B19" s="5" t="s">
        <v>271</v>
      </c>
      <c r="C19" s="169">
        <f>C16/(C15+C16)</f>
        <v>0.29032524236991536</v>
      </c>
      <c r="D19" s="169">
        <f t="shared" ref="D19:Q19" si="1">D16/(D15+D16)</f>
        <v>0.44725660226260838</v>
      </c>
      <c r="E19" s="169">
        <f t="shared" si="1"/>
        <v>0.33887766149147558</v>
      </c>
      <c r="F19" s="169">
        <f t="shared" si="1"/>
        <v>0.32475810410405864</v>
      </c>
      <c r="G19" s="169">
        <f t="shared" si="1"/>
        <v>0.35751220913530596</v>
      </c>
      <c r="H19" s="224">
        <f t="shared" si="1"/>
        <v>0.4264664584201362</v>
      </c>
      <c r="I19" s="224">
        <f t="shared" si="1"/>
        <v>0.49429946374915346</v>
      </c>
      <c r="J19" s="224">
        <f t="shared" si="1"/>
        <v>0.56338095758468021</v>
      </c>
      <c r="K19" s="224">
        <f t="shared" si="1"/>
        <v>0.62785429317741204</v>
      </c>
      <c r="L19" s="224">
        <f t="shared" si="1"/>
        <v>0.68225899669717072</v>
      </c>
      <c r="M19" s="224">
        <f t="shared" si="1"/>
        <v>0.72506974694863136</v>
      </c>
      <c r="N19" s="224">
        <f t="shared" si="1"/>
        <v>0.75945688036879155</v>
      </c>
      <c r="O19" s="224">
        <f t="shared" si="1"/>
        <v>0.7875484963209648</v>
      </c>
      <c r="P19" s="224">
        <f t="shared" si="1"/>
        <v>0.81070438320733562</v>
      </c>
      <c r="Q19" s="224">
        <f t="shared" si="1"/>
        <v>0.82995225875920275</v>
      </c>
    </row>
    <row r="20" spans="2:17" x14ac:dyDescent="0.3">
      <c r="G20" s="221"/>
      <c r="H20" s="222"/>
      <c r="I20" s="222"/>
      <c r="J20" s="222"/>
      <c r="K20" s="222"/>
      <c r="L20" s="222"/>
      <c r="M20" s="222"/>
      <c r="N20" s="222"/>
      <c r="O20" s="222"/>
      <c r="P20" s="222"/>
      <c r="Q20" s="222"/>
    </row>
    <row r="21" spans="2:17" x14ac:dyDescent="0.3">
      <c r="B21" s="5" t="s">
        <v>267</v>
      </c>
      <c r="C21" s="170">
        <f>$C$9</f>
        <v>0.11447</v>
      </c>
      <c r="D21" s="170">
        <f t="shared" ref="D21:Q21" si="2">$C$9</f>
        <v>0.11447</v>
      </c>
      <c r="E21" s="170">
        <f t="shared" si="2"/>
        <v>0.11447</v>
      </c>
      <c r="F21" s="170">
        <f t="shared" si="2"/>
        <v>0.11447</v>
      </c>
      <c r="G21" s="170">
        <f t="shared" si="2"/>
        <v>0.11447</v>
      </c>
      <c r="H21" s="225">
        <f t="shared" si="2"/>
        <v>0.11447</v>
      </c>
      <c r="I21" s="225">
        <f t="shared" si="2"/>
        <v>0.11447</v>
      </c>
      <c r="J21" s="225">
        <f t="shared" si="2"/>
        <v>0.11447</v>
      </c>
      <c r="K21" s="225">
        <f t="shared" si="2"/>
        <v>0.11447</v>
      </c>
      <c r="L21" s="225">
        <f t="shared" si="2"/>
        <v>0.11447</v>
      </c>
      <c r="M21" s="225">
        <f t="shared" si="2"/>
        <v>0.11447</v>
      </c>
      <c r="N21" s="225">
        <f t="shared" si="2"/>
        <v>0.11447</v>
      </c>
      <c r="O21" s="225">
        <f t="shared" si="2"/>
        <v>0.11447</v>
      </c>
      <c r="P21" s="225">
        <f t="shared" si="2"/>
        <v>0.11447</v>
      </c>
      <c r="Q21" s="225">
        <f t="shared" si="2"/>
        <v>0.11447</v>
      </c>
    </row>
    <row r="22" spans="2:17" x14ac:dyDescent="0.3">
      <c r="B22" s="5" t="s">
        <v>272</v>
      </c>
      <c r="C22" s="170">
        <f>$C$10</f>
        <v>4.3240000000000001E-2</v>
      </c>
      <c r="D22" s="170">
        <f t="shared" ref="D22:Q22" si="3">$C$10</f>
        <v>4.3240000000000001E-2</v>
      </c>
      <c r="E22" s="170">
        <f t="shared" si="3"/>
        <v>4.3240000000000001E-2</v>
      </c>
      <c r="F22" s="170">
        <f t="shared" si="3"/>
        <v>4.3240000000000001E-2</v>
      </c>
      <c r="G22" s="170">
        <f t="shared" si="3"/>
        <v>4.3240000000000001E-2</v>
      </c>
      <c r="H22" s="225">
        <f t="shared" si="3"/>
        <v>4.3240000000000001E-2</v>
      </c>
      <c r="I22" s="225">
        <f t="shared" si="3"/>
        <v>4.3240000000000001E-2</v>
      </c>
      <c r="J22" s="225">
        <f t="shared" si="3"/>
        <v>4.3240000000000001E-2</v>
      </c>
      <c r="K22" s="225">
        <f t="shared" si="3"/>
        <v>4.3240000000000001E-2</v>
      </c>
      <c r="L22" s="225">
        <f t="shared" si="3"/>
        <v>4.3240000000000001E-2</v>
      </c>
      <c r="M22" s="225">
        <f t="shared" si="3"/>
        <v>4.3240000000000001E-2</v>
      </c>
      <c r="N22" s="225">
        <f t="shared" si="3"/>
        <v>4.3240000000000001E-2</v>
      </c>
      <c r="O22" s="225">
        <f t="shared" si="3"/>
        <v>4.3240000000000001E-2</v>
      </c>
      <c r="P22" s="225">
        <f t="shared" si="3"/>
        <v>4.3240000000000001E-2</v>
      </c>
      <c r="Q22" s="225">
        <f t="shared" si="3"/>
        <v>4.3240000000000001E-2</v>
      </c>
    </row>
    <row r="23" spans="2:17" x14ac:dyDescent="0.3">
      <c r="G23" s="221"/>
      <c r="H23" s="222"/>
      <c r="I23" s="222"/>
      <c r="J23" s="222"/>
      <c r="K23" s="222"/>
      <c r="L23" s="222"/>
      <c r="M23" s="222"/>
      <c r="N23" s="222"/>
      <c r="O23" s="222"/>
      <c r="P23" s="222"/>
      <c r="Q23" s="222"/>
    </row>
    <row r="24" spans="2:17" ht="16.8" thickBot="1" x14ac:dyDescent="0.4">
      <c r="B24" s="60" t="s">
        <v>262</v>
      </c>
      <c r="C24" s="223">
        <f>C18*C22*(1-$C$7)+C19*C21</f>
        <v>5.7475736344824856E-2</v>
      </c>
      <c r="D24" s="223">
        <f t="shared" ref="D24:Q24" si="4">D18*D22*(1-$C$7)+D19*D21</f>
        <v>7.0078956630350991E-2</v>
      </c>
      <c r="E24" s="223">
        <f t="shared" si="4"/>
        <v>6.1375000545445001E-2</v>
      </c>
      <c r="F24" s="223">
        <f t="shared" si="4"/>
        <v>6.0241053243838591E-2</v>
      </c>
      <c r="G24" s="223">
        <f t="shared" si="4"/>
        <v>6.2871548520540083E-2</v>
      </c>
      <c r="H24" s="226">
        <f t="shared" si="4"/>
        <v>6.8409291862304503E-2</v>
      </c>
      <c r="I24" s="226">
        <f t="shared" si="4"/>
        <v>7.3856987653480019E-2</v>
      </c>
      <c r="J24" s="226">
        <f t="shared" si="4"/>
        <v>7.94049500560087E-2</v>
      </c>
      <c r="K24" s="226">
        <f t="shared" si="4"/>
        <v>8.4582829426795236E-2</v>
      </c>
      <c r="L24" s="226">
        <f t="shared" si="4"/>
        <v>8.8952092928348464E-2</v>
      </c>
      <c r="M24" s="226">
        <f t="shared" si="4"/>
        <v>9.2390241405343368E-2</v>
      </c>
      <c r="N24" s="226">
        <f t="shared" si="4"/>
        <v>9.5151885845169801E-2</v>
      </c>
      <c r="O24" s="226">
        <f t="shared" si="4"/>
        <v>9.7407934758935222E-2</v>
      </c>
      <c r="P24" s="226">
        <f t="shared" si="4"/>
        <v>9.9267593297134402E-2</v>
      </c>
      <c r="Q24" s="226">
        <f t="shared" si="4"/>
        <v>0.10081339788185509</v>
      </c>
    </row>
  </sheetData>
  <mergeCells count="1">
    <mergeCell ref="B13:Q1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BEB1-7B0B-43AD-B612-D3AE464B0E7A}">
  <dimension ref="B13"/>
  <sheetViews>
    <sheetView showGridLines="0" workbookViewId="0"/>
  </sheetViews>
  <sheetFormatPr defaultRowHeight="14.4" x14ac:dyDescent="0.3"/>
  <sheetData>
    <row r="13" spans="2:2" ht="61.8" x14ac:dyDescent="1.1499999999999999">
      <c r="B13" s="41" t="s">
        <v>374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67D5-6E99-478B-BE13-AD7CA38CF9ED}">
  <dimension ref="A1:S23"/>
  <sheetViews>
    <sheetView showGridLines="0" workbookViewId="0"/>
  </sheetViews>
  <sheetFormatPr defaultRowHeight="15.6" x14ac:dyDescent="0.3"/>
  <cols>
    <col min="1" max="1" width="4.33203125" style="42" customWidth="1"/>
    <col min="2" max="2" width="38.5546875" style="42" bestFit="1" customWidth="1"/>
    <col min="3" max="3" width="9" style="42" bestFit="1" customWidth="1"/>
    <col min="4" max="5" width="8.88671875" style="42"/>
    <col min="6" max="6" width="9.33203125" style="42" bestFit="1" customWidth="1"/>
    <col min="7" max="7" width="10" style="42" customWidth="1"/>
    <col min="8" max="16" width="9" style="42" bestFit="1" customWidth="1"/>
    <col min="17" max="17" width="13.21875" style="42" bestFit="1" customWidth="1"/>
    <col min="18" max="18" width="9.44140625" style="42" bestFit="1" customWidth="1"/>
    <col min="19" max="16384" width="8.88671875" style="42"/>
  </cols>
  <sheetData>
    <row r="1" spans="1:19" ht="21" x14ac:dyDescent="0.4">
      <c r="A1" s="233"/>
      <c r="B1" s="245" t="s">
        <v>375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</row>
    <row r="2" spans="1:19" ht="16.2" thickBot="1" x14ac:dyDescent="0.35"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</row>
    <row r="3" spans="1:19" ht="17.399999999999999" thickTop="1" thickBot="1" x14ac:dyDescent="0.4">
      <c r="B3" s="232" t="s">
        <v>311</v>
      </c>
      <c r="C3" s="235">
        <f>Drivers!$C$13</f>
        <v>0.02</v>
      </c>
      <c r="D3" s="234" t="s">
        <v>174</v>
      </c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</row>
    <row r="4" spans="1:19" ht="16.8" thickTop="1" x14ac:dyDescent="0.35">
      <c r="B4" s="234"/>
      <c r="C4" s="234"/>
      <c r="D4" s="234"/>
      <c r="E4" s="234"/>
      <c r="F4" s="234"/>
      <c r="G4" s="232" t="s">
        <v>376</v>
      </c>
      <c r="H4" s="248">
        <v>1</v>
      </c>
      <c r="I4" s="248">
        <v>2</v>
      </c>
      <c r="J4" s="248">
        <v>3</v>
      </c>
      <c r="K4" s="248">
        <v>4</v>
      </c>
      <c r="L4" s="248">
        <v>5</v>
      </c>
      <c r="M4" s="248">
        <v>6</v>
      </c>
      <c r="N4" s="248">
        <v>7</v>
      </c>
      <c r="O4" s="248">
        <v>8</v>
      </c>
      <c r="P4" s="248">
        <v>9</v>
      </c>
      <c r="Q4" s="249">
        <v>10</v>
      </c>
      <c r="R4" s="234"/>
      <c r="S4" s="234"/>
    </row>
    <row r="5" spans="1:19" ht="32.4" x14ac:dyDescent="0.3">
      <c r="B5" s="114" t="s">
        <v>200</v>
      </c>
      <c r="C5" s="19" t="s">
        <v>17</v>
      </c>
      <c r="D5" s="19" t="s">
        <v>18</v>
      </c>
      <c r="E5" s="19" t="s">
        <v>19</v>
      </c>
      <c r="F5" s="19" t="s">
        <v>20</v>
      </c>
      <c r="G5" s="19" t="s">
        <v>21</v>
      </c>
      <c r="H5" s="57" t="s">
        <v>104</v>
      </c>
      <c r="I5" s="57" t="s">
        <v>105</v>
      </c>
      <c r="J5" s="57" t="s">
        <v>106</v>
      </c>
      <c r="K5" s="57" t="s">
        <v>107</v>
      </c>
      <c r="L5" s="57" t="s">
        <v>108</v>
      </c>
      <c r="M5" s="57" t="s">
        <v>109</v>
      </c>
      <c r="N5" s="57" t="s">
        <v>110</v>
      </c>
      <c r="O5" s="57" t="s">
        <v>111</v>
      </c>
      <c r="P5" s="57" t="s">
        <v>112</v>
      </c>
      <c r="Q5" s="57" t="s">
        <v>113</v>
      </c>
      <c r="R5" s="234"/>
      <c r="S5" s="234"/>
    </row>
    <row r="6" spans="1:19" x14ac:dyDescent="0.3">
      <c r="B6" s="234" t="s">
        <v>261</v>
      </c>
      <c r="C6" s="196"/>
      <c r="D6" s="196"/>
      <c r="E6" s="196"/>
      <c r="F6" s="196"/>
      <c r="G6" s="196"/>
      <c r="H6" s="236">
        <f>'Cash Flow '!H20</f>
        <v>5085.2111111532922</v>
      </c>
      <c r="I6" s="236">
        <f>'Cash Flow '!I20</f>
        <v>5828.0578721876427</v>
      </c>
      <c r="J6" s="236">
        <f>'Cash Flow '!J20</f>
        <v>8342.5964321073188</v>
      </c>
      <c r="K6" s="236">
        <f>'Cash Flow '!K20</f>
        <v>9960.3508050763448</v>
      </c>
      <c r="L6" s="236">
        <f>'Cash Flow '!L20</f>
        <v>9289.3303894887085</v>
      </c>
      <c r="M6" s="236">
        <f>'Cash Flow '!M20</f>
        <v>8587.4273613301375</v>
      </c>
      <c r="N6" s="236">
        <f>'Cash Flow '!N20</f>
        <v>9195.6060303240029</v>
      </c>
      <c r="O6" s="236">
        <f>'Cash Flow '!O20</f>
        <v>9902.3811414671563</v>
      </c>
      <c r="P6" s="236">
        <f>'Cash Flow '!P20</f>
        <v>10294.971892342954</v>
      </c>
      <c r="Q6" s="236">
        <f>'Cash Flow '!Q20</f>
        <v>9732.0359521610517</v>
      </c>
      <c r="R6" s="234"/>
      <c r="S6" s="234"/>
    </row>
    <row r="7" spans="1:19" ht="16.2" x14ac:dyDescent="0.35">
      <c r="B7" s="234" t="s">
        <v>321</v>
      </c>
      <c r="C7" s="196"/>
      <c r="D7" s="196"/>
      <c r="E7" s="196"/>
      <c r="F7" s="196"/>
      <c r="G7" s="196"/>
      <c r="H7" s="236"/>
      <c r="I7" s="236"/>
      <c r="J7" s="236"/>
      <c r="K7" s="236"/>
      <c r="L7" s="236"/>
      <c r="M7" s="236"/>
      <c r="N7" s="236"/>
      <c r="O7" s="236"/>
      <c r="P7" s="236"/>
      <c r="Q7" s="246">
        <f>Q6*(1+$C$3)/($Q$9-$C$3)</f>
        <v>122834.54144220677</v>
      </c>
      <c r="R7" s="234"/>
      <c r="S7" s="234"/>
    </row>
    <row r="8" spans="1:19" x14ac:dyDescent="0.3">
      <c r="B8" s="234"/>
      <c r="C8" s="196"/>
      <c r="D8" s="196"/>
      <c r="E8" s="196"/>
      <c r="F8" s="196"/>
      <c r="G8" s="196"/>
      <c r="H8" s="236"/>
      <c r="I8" s="236"/>
      <c r="J8" s="237"/>
      <c r="K8" s="237"/>
      <c r="L8" s="237"/>
      <c r="M8" s="237"/>
      <c r="N8" s="237"/>
      <c r="O8" s="237"/>
      <c r="P8" s="237"/>
      <c r="Q8" s="237"/>
      <c r="R8" s="234"/>
      <c r="S8" s="234"/>
    </row>
    <row r="9" spans="1:19" x14ac:dyDescent="0.3">
      <c r="B9" s="250" t="s">
        <v>312</v>
      </c>
      <c r="C9" s="251"/>
      <c r="D9" s="251"/>
      <c r="E9" s="251"/>
      <c r="F9" s="251"/>
      <c r="G9" s="251"/>
      <c r="H9" s="238">
        <f>'WACC '!H24</f>
        <v>6.8409291862304503E-2</v>
      </c>
      <c r="I9" s="238">
        <f>'WACC '!I24</f>
        <v>7.3856987653480019E-2</v>
      </c>
      <c r="J9" s="238">
        <f>'WACC '!J24</f>
        <v>7.94049500560087E-2</v>
      </c>
      <c r="K9" s="238">
        <f>'WACC '!K24</f>
        <v>8.4582829426795236E-2</v>
      </c>
      <c r="L9" s="238">
        <f>'WACC '!L24</f>
        <v>8.8952092928348464E-2</v>
      </c>
      <c r="M9" s="238">
        <f>'WACC '!M24</f>
        <v>9.2390241405343368E-2</v>
      </c>
      <c r="N9" s="238">
        <f>'WACC '!N24</f>
        <v>9.5151885845169801E-2</v>
      </c>
      <c r="O9" s="238">
        <f>'WACC '!O24</f>
        <v>9.7407934758935222E-2</v>
      </c>
      <c r="P9" s="238">
        <f>'WACC '!P24</f>
        <v>9.9267593297134402E-2</v>
      </c>
      <c r="Q9" s="238">
        <f>'WACC '!Q24</f>
        <v>0.10081339788185509</v>
      </c>
      <c r="R9" s="234"/>
      <c r="S9" s="234"/>
    </row>
    <row r="10" spans="1:19" ht="16.8" thickBot="1" x14ac:dyDescent="0.4">
      <c r="B10" s="252" t="s">
        <v>377</v>
      </c>
      <c r="C10" s="253"/>
      <c r="D10" s="253"/>
      <c r="E10" s="253"/>
      <c r="F10" s="253"/>
      <c r="G10" s="253"/>
      <c r="H10" s="254">
        <f>H6/(1+H9)^H4</f>
        <v>4759.6095895885082</v>
      </c>
      <c r="I10" s="254">
        <f t="shared" ref="I10:Q10" si="0">I6/(1+I9)^I4</f>
        <v>5053.9502290659984</v>
      </c>
      <c r="J10" s="254">
        <f t="shared" si="0"/>
        <v>6633.5807365883538</v>
      </c>
      <c r="K10" s="254">
        <f t="shared" si="0"/>
        <v>7198.1971308168668</v>
      </c>
      <c r="L10" s="254">
        <f t="shared" si="0"/>
        <v>6066.5326571184214</v>
      </c>
      <c r="M10" s="254">
        <f t="shared" si="0"/>
        <v>5053.5457944289265</v>
      </c>
      <c r="N10" s="254">
        <f t="shared" si="0"/>
        <v>4866.9834445783999</v>
      </c>
      <c r="O10" s="254">
        <f t="shared" si="0"/>
        <v>4707.5492266721285</v>
      </c>
      <c r="P10" s="254">
        <f t="shared" si="0"/>
        <v>4392.3237116337832</v>
      </c>
      <c r="Q10" s="254">
        <f t="shared" si="0"/>
        <v>3724.4885019776389</v>
      </c>
      <c r="R10" s="234"/>
      <c r="S10" s="234"/>
    </row>
    <row r="11" spans="1:19" ht="16.8" thickBot="1" x14ac:dyDescent="0.4">
      <c r="B11" s="255" t="s">
        <v>378</v>
      </c>
      <c r="C11" s="256"/>
      <c r="D11" s="256"/>
      <c r="E11" s="256"/>
      <c r="F11" s="256"/>
      <c r="G11" s="256"/>
      <c r="H11" s="257"/>
      <c r="I11" s="257"/>
      <c r="J11" s="257"/>
      <c r="K11" s="257"/>
      <c r="L11" s="257"/>
      <c r="M11" s="257"/>
      <c r="N11" s="257"/>
      <c r="O11" s="257"/>
      <c r="P11" s="257"/>
      <c r="Q11" s="258">
        <f>Q7/(1+Q9)^Q4</f>
        <v>47009.262963686997</v>
      </c>
      <c r="R11" s="234"/>
      <c r="S11" s="234"/>
    </row>
    <row r="12" spans="1:19" x14ac:dyDescent="0.3">
      <c r="B12" s="234"/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</row>
    <row r="13" spans="1:19" ht="16.2" x14ac:dyDescent="0.35">
      <c r="B13" s="268" t="s">
        <v>313</v>
      </c>
      <c r="C13" s="268"/>
      <c r="D13" s="268"/>
      <c r="E13" s="268"/>
      <c r="F13" s="268"/>
      <c r="G13" s="247"/>
      <c r="H13" s="247"/>
      <c r="I13" s="247"/>
      <c r="J13" s="247"/>
      <c r="K13" s="247"/>
      <c r="L13" s="234"/>
      <c r="M13" s="234"/>
      <c r="N13" s="234"/>
      <c r="O13" s="234"/>
      <c r="P13" s="234"/>
      <c r="Q13" s="234"/>
      <c r="R13" s="234"/>
      <c r="S13" s="234"/>
    </row>
    <row r="14" spans="1:19" x14ac:dyDescent="0.3">
      <c r="B14" s="234" t="s">
        <v>314</v>
      </c>
      <c r="C14" s="234"/>
      <c r="D14" s="234"/>
      <c r="E14" s="239"/>
      <c r="F14" s="239">
        <f>SUM(H10:Q10)</f>
        <v>52456.761022469022</v>
      </c>
      <c r="G14" s="240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</row>
    <row r="15" spans="1:19" x14ac:dyDescent="0.3">
      <c r="B15" s="234" t="s">
        <v>322</v>
      </c>
      <c r="C15" s="234"/>
      <c r="D15" s="234"/>
      <c r="E15" s="239"/>
      <c r="F15" s="239">
        <f>Q11</f>
        <v>47009.262963686997</v>
      </c>
      <c r="G15" s="240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</row>
    <row r="16" spans="1:19" ht="16.2" x14ac:dyDescent="0.35">
      <c r="B16" s="241" t="s">
        <v>315</v>
      </c>
      <c r="C16" s="241"/>
      <c r="D16" s="241"/>
      <c r="E16" s="242"/>
      <c r="F16" s="242">
        <f>SUM(F14:F15)</f>
        <v>99466.023986156011</v>
      </c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</row>
    <row r="17" spans="2:19" x14ac:dyDescent="0.3">
      <c r="B17" s="243" t="s">
        <v>316</v>
      </c>
      <c r="C17" s="234"/>
      <c r="D17" s="234"/>
      <c r="E17" s="239"/>
      <c r="F17" s="239">
        <f>'Balance Sheet '!G5</f>
        <v>6268</v>
      </c>
      <c r="G17" s="239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</row>
    <row r="18" spans="2:19" x14ac:dyDescent="0.3">
      <c r="B18" s="243" t="s">
        <v>317</v>
      </c>
      <c r="C18" s="234"/>
      <c r="D18" s="234"/>
      <c r="E18" s="239"/>
      <c r="F18" s="239">
        <f>'Balance Sheet '!G28</f>
        <v>13419</v>
      </c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</row>
    <row r="19" spans="2:19" ht="16.2" x14ac:dyDescent="0.35">
      <c r="B19" s="241" t="s">
        <v>318</v>
      </c>
      <c r="C19" s="241"/>
      <c r="D19" s="241"/>
      <c r="E19" s="242"/>
      <c r="F19" s="242">
        <f>F16+F17-F18</f>
        <v>92315.023986156011</v>
      </c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</row>
    <row r="20" spans="2:19" x14ac:dyDescent="0.3">
      <c r="B20" s="234" t="s">
        <v>319</v>
      </c>
      <c r="C20" s="234"/>
      <c r="D20" s="234"/>
      <c r="E20" s="234"/>
      <c r="F20" s="239">
        <v>932</v>
      </c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</row>
    <row r="21" spans="2:19" ht="16.2" x14ac:dyDescent="0.35">
      <c r="B21" s="244" t="s">
        <v>320</v>
      </c>
      <c r="C21" s="244"/>
      <c r="D21" s="244"/>
      <c r="E21" s="244"/>
      <c r="F21" s="244">
        <f>F19/F20</f>
        <v>99.050454920768246</v>
      </c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</row>
    <row r="22" spans="2:19" x14ac:dyDescent="0.3">
      <c r="B22" s="234"/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</row>
    <row r="23" spans="2:19" x14ac:dyDescent="0.3"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</row>
  </sheetData>
  <mergeCells count="1">
    <mergeCell ref="B13:F1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D152-B1B6-46E1-9724-C6BB120387BD}">
  <sheetPr>
    <tabColor rgb="FF002060"/>
  </sheetPr>
  <dimension ref="B13"/>
  <sheetViews>
    <sheetView showGridLines="0" workbookViewId="0"/>
  </sheetViews>
  <sheetFormatPr defaultRowHeight="14.4" x14ac:dyDescent="0.3"/>
  <sheetData>
    <row r="13" spans="2:2" ht="61.8" x14ac:dyDescent="1.1499999999999999">
      <c r="B13" s="41" t="s">
        <v>380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B6BB-C1C0-42DC-BC67-35FB9B15C2BF}">
  <dimension ref="B1:C37"/>
  <sheetViews>
    <sheetView showGridLines="0" workbookViewId="0"/>
  </sheetViews>
  <sheetFormatPr defaultRowHeight="15.6" x14ac:dyDescent="0.3"/>
  <cols>
    <col min="1" max="1" width="4.21875" style="42" customWidth="1"/>
    <col min="2" max="2" width="18.88671875" style="42" bestFit="1" customWidth="1"/>
    <col min="3" max="3" width="8" style="42" bestFit="1" customWidth="1"/>
    <col min="4" max="16384" width="8.88671875" style="42"/>
  </cols>
  <sheetData>
    <row r="1" spans="2:3" ht="21" x14ac:dyDescent="0.3">
      <c r="B1" s="16" t="s">
        <v>379</v>
      </c>
      <c r="C1" s="6"/>
    </row>
    <row r="2" spans="2:3" x14ac:dyDescent="0.3">
      <c r="B2" s="6"/>
      <c r="C2" s="6"/>
    </row>
    <row r="3" spans="2:3" ht="16.2" x14ac:dyDescent="0.35">
      <c r="B3" s="48" t="s">
        <v>323</v>
      </c>
      <c r="C3" s="259">
        <f>'Cash Flow '!G28</f>
        <v>2582.3819999999992</v>
      </c>
    </row>
    <row r="4" spans="2:3" x14ac:dyDescent="0.3">
      <c r="B4" s="6" t="s">
        <v>299</v>
      </c>
      <c r="C4" s="199">
        <f>'Cash Flow '!H7-'Cash Flow '!G7</f>
        <v>3087.4750803258762</v>
      </c>
    </row>
    <row r="5" spans="2:3" x14ac:dyDescent="0.3">
      <c r="B5" s="6" t="s">
        <v>300</v>
      </c>
      <c r="C5" s="199">
        <f>'Cash Flow '!H8-'Cash Flow '!G8</f>
        <v>-914.76719970752902</v>
      </c>
    </row>
    <row r="6" spans="2:3" x14ac:dyDescent="0.3">
      <c r="B6" s="6" t="s">
        <v>324</v>
      </c>
      <c r="C6" s="199">
        <f>'Cash Flow '!H14-'Cash Flow '!G14</f>
        <v>-1092.158967788575</v>
      </c>
    </row>
    <row r="7" spans="2:3" x14ac:dyDescent="0.3">
      <c r="B7" s="6" t="s">
        <v>236</v>
      </c>
      <c r="C7" s="199">
        <f>'Cash Flow '!H16-'Cash Flow '!G16</f>
        <v>-776.40500292471029</v>
      </c>
    </row>
    <row r="8" spans="2:3" x14ac:dyDescent="0.3">
      <c r="B8" s="6" t="s">
        <v>325</v>
      </c>
      <c r="C8" s="199">
        <f>('Cash Flow '!H17-'Cash Flow '!G17)+('Cash Flow '!H18-'Cash Flow '!G18)+('Cash Flow '!H22-'Cash Flow '!G22)+('Cash Flow '!H23-'Cash Flow '!G23)+('Cash Flow '!H24-'Cash Flow '!G24)+('Cash Flow '!H25-'Cash Flow '!G25)+('Cash Flow '!H26-'Cash Flow '!G26)</f>
        <v>1801.2724148482307</v>
      </c>
    </row>
    <row r="9" spans="2:3" ht="16.2" x14ac:dyDescent="0.35">
      <c r="B9" s="48" t="s">
        <v>326</v>
      </c>
      <c r="C9" s="259">
        <f>'Cash Flow '!H28</f>
        <v>4687.798324753292</v>
      </c>
    </row>
    <row r="10" spans="2:3" x14ac:dyDescent="0.3">
      <c r="B10" s="6"/>
      <c r="C10" s="6"/>
    </row>
    <row r="11" spans="2:3" x14ac:dyDescent="0.3">
      <c r="B11" s="6"/>
      <c r="C11" s="6"/>
    </row>
    <row r="12" spans="2:3" x14ac:dyDescent="0.3">
      <c r="B12" s="6"/>
      <c r="C12" s="6"/>
    </row>
    <row r="13" spans="2:3" x14ac:dyDescent="0.3">
      <c r="B13" s="6"/>
      <c r="C13" s="6"/>
    </row>
    <row r="14" spans="2:3" x14ac:dyDescent="0.3">
      <c r="B14" s="6"/>
      <c r="C14" s="6"/>
    </row>
    <row r="15" spans="2:3" x14ac:dyDescent="0.3">
      <c r="B15" s="6"/>
      <c r="C15" s="6"/>
    </row>
    <row r="16" spans="2:3" x14ac:dyDescent="0.3">
      <c r="B16" s="6"/>
      <c r="C16" s="6"/>
    </row>
    <row r="17" spans="2:3" x14ac:dyDescent="0.3">
      <c r="B17" s="6"/>
      <c r="C17" s="6"/>
    </row>
    <row r="18" spans="2:3" x14ac:dyDescent="0.3">
      <c r="B18" s="6"/>
      <c r="C18" s="6"/>
    </row>
    <row r="19" spans="2:3" x14ac:dyDescent="0.3">
      <c r="B19" s="6"/>
      <c r="C19" s="6"/>
    </row>
    <row r="20" spans="2:3" x14ac:dyDescent="0.3">
      <c r="B20" s="6"/>
      <c r="C20" s="6"/>
    </row>
    <row r="21" spans="2:3" ht="16.2" x14ac:dyDescent="0.35">
      <c r="B21" s="48" t="s">
        <v>327</v>
      </c>
      <c r="C21" s="259">
        <f>'Cash Flow '!P28</f>
        <v>9897.5591059429535</v>
      </c>
    </row>
    <row r="22" spans="2:3" x14ac:dyDescent="0.3">
      <c r="B22" s="6" t="s">
        <v>299</v>
      </c>
      <c r="C22" s="199">
        <f>'Cash Flow '!Q7-'Cash Flow '!P7</f>
        <v>297.53979381030331</v>
      </c>
    </row>
    <row r="23" spans="2:3" x14ac:dyDescent="0.3">
      <c r="B23" s="6" t="s">
        <v>300</v>
      </c>
      <c r="C23" s="199">
        <f>'Cash Flow '!Q8-'Cash Flow '!P8</f>
        <v>353.43413604646912</v>
      </c>
    </row>
    <row r="24" spans="2:3" x14ac:dyDescent="0.3">
      <c r="B24" s="6" t="s">
        <v>324</v>
      </c>
      <c r="C24" s="199">
        <f>'Cash Flow '!Q14-'Cash Flow '!P14</f>
        <v>40.696607769387811</v>
      </c>
    </row>
    <row r="25" spans="2:3" x14ac:dyDescent="0.3">
      <c r="B25" s="6" t="s">
        <v>236</v>
      </c>
      <c r="C25" s="199">
        <f>'Cash Flow '!Q16-'Cash Flow '!P16</f>
        <v>-1072.8906309296517</v>
      </c>
    </row>
    <row r="26" spans="2:3" x14ac:dyDescent="0.3">
      <c r="B26" s="6" t="s">
        <v>325</v>
      </c>
      <c r="C26" s="199">
        <f>('Cash Flow '!Q17-'Cash Flow '!P17)+('Cash Flow '!Q18-'Cash Flow '!P18)+('Cash Flow '!Q22-'Cash Flow '!P22)+('Cash Flow '!Q23-'Cash Flow '!P23)+('Cash Flow '!Q24-'Cash Flow '!P24)+('Cash Flow '!Q25-'Cash Flow '!P25)</f>
        <v>-181.71584687841187</v>
      </c>
    </row>
    <row r="27" spans="2:3" ht="16.2" x14ac:dyDescent="0.35">
      <c r="B27" s="48" t="s">
        <v>328</v>
      </c>
      <c r="C27" s="259">
        <f>'Cash Flow '!Q28</f>
        <v>9334.6231657610515</v>
      </c>
    </row>
    <row r="28" spans="2:3" x14ac:dyDescent="0.3">
      <c r="B28" s="6"/>
      <c r="C28" s="6"/>
    </row>
    <row r="29" spans="2:3" x14ac:dyDescent="0.3">
      <c r="B29" s="6"/>
      <c r="C29" s="6"/>
    </row>
    <row r="30" spans="2:3" x14ac:dyDescent="0.3">
      <c r="B30" s="6"/>
      <c r="C30" s="199"/>
    </row>
    <row r="31" spans="2:3" x14ac:dyDescent="0.3">
      <c r="B31" s="6"/>
      <c r="C31" s="199"/>
    </row>
    <row r="32" spans="2:3" x14ac:dyDescent="0.3">
      <c r="B32" s="6"/>
      <c r="C32" s="199"/>
    </row>
    <row r="33" spans="2:3" x14ac:dyDescent="0.3">
      <c r="B33" s="6"/>
      <c r="C33" s="199"/>
    </row>
    <row r="34" spans="2:3" x14ac:dyDescent="0.3">
      <c r="B34" s="6"/>
      <c r="C34" s="199"/>
    </row>
    <row r="35" spans="2:3" x14ac:dyDescent="0.3">
      <c r="B35" s="6"/>
      <c r="C35" s="199"/>
    </row>
    <row r="36" spans="2:3" x14ac:dyDescent="0.3">
      <c r="B36" s="6"/>
      <c r="C36" s="199"/>
    </row>
    <row r="37" spans="2:3" x14ac:dyDescent="0.3">
      <c r="B37" s="6"/>
      <c r="C37" s="6"/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2849-D3AD-43E6-A464-1F109B29956B}">
  <dimension ref="A1:C16"/>
  <sheetViews>
    <sheetView workbookViewId="0"/>
  </sheetViews>
  <sheetFormatPr defaultColWidth="9.109375" defaultRowHeight="15.6" x14ac:dyDescent="0.3"/>
  <cols>
    <col min="1" max="1" width="3.21875" style="6" customWidth="1"/>
    <col min="2" max="2" width="23.5546875" style="6" customWidth="1"/>
    <col min="3" max="3" width="15.109375" style="6" customWidth="1"/>
    <col min="4" max="4" width="2" style="6" customWidth="1"/>
    <col min="5" max="6" width="11.33203125" style="6" bestFit="1" customWidth="1"/>
    <col min="7" max="7" width="10.33203125" style="6" bestFit="1" customWidth="1"/>
    <col min="8" max="12" width="10.44140625" style="6" bestFit="1" customWidth="1"/>
    <col min="13" max="16384" width="9.109375" style="6"/>
  </cols>
  <sheetData>
    <row r="1" spans="1:3" ht="21" x14ac:dyDescent="0.3">
      <c r="A1" s="260"/>
      <c r="B1" s="16" t="s">
        <v>381</v>
      </c>
    </row>
    <row r="3" spans="1:3" ht="16.2" x14ac:dyDescent="0.35">
      <c r="B3" s="262" t="s">
        <v>329</v>
      </c>
      <c r="C3" s="261">
        <f>'P&amp;L '!F14</f>
        <v>-976.09100000000308</v>
      </c>
    </row>
    <row r="4" spans="1:3" x14ac:dyDescent="0.3">
      <c r="B4" s="5" t="s">
        <v>330</v>
      </c>
      <c r="C4" s="199">
        <f>'P&amp;L '!G5-'P&amp;L '!F5</f>
        <v>3116.7320000000036</v>
      </c>
    </row>
    <row r="5" spans="1:3" x14ac:dyDescent="0.3">
      <c r="B5" s="5" t="s">
        <v>331</v>
      </c>
      <c r="C5" s="199">
        <f>'P&amp;L '!G6-'P&amp;L '!F6</f>
        <v>-3089.7530000000006</v>
      </c>
    </row>
    <row r="6" spans="1:3" x14ac:dyDescent="0.3">
      <c r="B6" s="5" t="s">
        <v>332</v>
      </c>
      <c r="C6" s="199">
        <f>'P&amp;L '!G8-'P&amp;L '!F8</f>
        <v>292.09400000000005</v>
      </c>
    </row>
    <row r="7" spans="1:3" x14ac:dyDescent="0.3">
      <c r="B7" s="5" t="s">
        <v>333</v>
      </c>
      <c r="C7" s="199">
        <f>'P&amp;L '!G10-'P&amp;L '!F10</f>
        <v>20.672000000000025</v>
      </c>
    </row>
    <row r="8" spans="1:3" x14ac:dyDescent="0.3">
      <c r="B8" s="5" t="s">
        <v>334</v>
      </c>
      <c r="C8" s="199">
        <f>'P&amp;L '!G12-'P&amp;L '!F12</f>
        <v>-52.162999999999997</v>
      </c>
    </row>
    <row r="9" spans="1:3" x14ac:dyDescent="0.3">
      <c r="B9" s="5" t="s">
        <v>335</v>
      </c>
      <c r="C9" s="199">
        <f>'P&amp;L '!G13-'P&amp;L '!F13</f>
        <v>-173.49099999999999</v>
      </c>
    </row>
    <row r="10" spans="1:3" ht="16.2" x14ac:dyDescent="0.35">
      <c r="B10" s="262" t="s">
        <v>336</v>
      </c>
      <c r="C10" s="261">
        <f>'P&amp;L '!G14</f>
        <v>-862</v>
      </c>
    </row>
    <row r="11" spans="1:3" x14ac:dyDescent="0.3">
      <c r="B11" s="5" t="s">
        <v>330</v>
      </c>
      <c r="C11" s="199">
        <f>'P&amp;L '!H5-'P&amp;L '!G5</f>
        <v>13813.95310862</v>
      </c>
    </row>
    <row r="12" spans="1:3" x14ac:dyDescent="0.3">
      <c r="B12" s="5" t="s">
        <v>331</v>
      </c>
      <c r="C12" s="199">
        <f>'P&amp;L '!H6-'P&amp;L '!G6</f>
        <v>-9720.8159542529538</v>
      </c>
    </row>
    <row r="13" spans="1:3" x14ac:dyDescent="0.3">
      <c r="B13" s="5" t="s">
        <v>332</v>
      </c>
      <c r="C13" s="199">
        <f>'P&amp;L '!H8-'P&amp;L '!G8</f>
        <v>-342.52312863808947</v>
      </c>
    </row>
    <row r="14" spans="1:3" x14ac:dyDescent="0.3">
      <c r="B14" s="5" t="s">
        <v>333</v>
      </c>
      <c r="C14" s="199">
        <f>'P&amp;L '!H10-'P&amp;L '!G10</f>
        <v>92.945839999999976</v>
      </c>
    </row>
    <row r="15" spans="1:3" x14ac:dyDescent="0.3">
      <c r="B15" s="5" t="s">
        <v>334</v>
      </c>
      <c r="C15" s="199">
        <f>'P&amp;L '!H12-'P&amp;L '!G12</f>
        <v>-557.49757180308097</v>
      </c>
    </row>
    <row r="16" spans="1:3" ht="16.2" x14ac:dyDescent="0.35">
      <c r="B16" s="262" t="s">
        <v>337</v>
      </c>
      <c r="C16" s="261">
        <f>'P&amp;L '!H14</f>
        <v>2511.062293925876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C667-A696-4B45-91D7-5173BBFBF79B}">
  <dimension ref="B1:S11"/>
  <sheetViews>
    <sheetView showGridLines="0" workbookViewId="0"/>
  </sheetViews>
  <sheetFormatPr defaultRowHeight="15.6" x14ac:dyDescent="0.3"/>
  <cols>
    <col min="1" max="1" width="5.44140625" style="42" customWidth="1"/>
    <col min="2" max="2" width="25.77734375" style="42" bestFit="1" customWidth="1"/>
    <col min="3" max="5" width="9" style="42" bestFit="1" customWidth="1"/>
    <col min="6" max="12" width="9.33203125" style="42" bestFit="1" customWidth="1"/>
    <col min="13" max="17" width="11.21875" style="42" bestFit="1" customWidth="1"/>
    <col min="18" max="16384" width="8.88671875" style="42"/>
  </cols>
  <sheetData>
    <row r="1" spans="2:19" ht="21" x14ac:dyDescent="0.3">
      <c r="B1" s="16" t="s">
        <v>382</v>
      </c>
    </row>
    <row r="3" spans="2:19" ht="16.2" x14ac:dyDescent="0.3">
      <c r="B3" s="265" t="s">
        <v>175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</row>
    <row r="4" spans="2:19" ht="32.4" x14ac:dyDescent="0.3">
      <c r="B4" s="56" t="s">
        <v>103</v>
      </c>
      <c r="C4" s="19" t="s">
        <v>17</v>
      </c>
      <c r="D4" s="19" t="s">
        <v>18</v>
      </c>
      <c r="E4" s="19" t="s">
        <v>19</v>
      </c>
      <c r="F4" s="19" t="s">
        <v>20</v>
      </c>
      <c r="G4" s="19" t="s">
        <v>21</v>
      </c>
      <c r="H4" s="57" t="s">
        <v>104</v>
      </c>
      <c r="I4" s="57" t="s">
        <v>105</v>
      </c>
      <c r="J4" s="57" t="s">
        <v>106</v>
      </c>
      <c r="K4" s="57" t="s">
        <v>107</v>
      </c>
      <c r="L4" s="57" t="s">
        <v>108</v>
      </c>
      <c r="M4" s="57" t="s">
        <v>109</v>
      </c>
      <c r="N4" s="57" t="s">
        <v>110</v>
      </c>
      <c r="O4" s="57" t="s">
        <v>111</v>
      </c>
      <c r="P4" s="57" t="s">
        <v>112</v>
      </c>
      <c r="Q4" s="57" t="s">
        <v>113</v>
      </c>
      <c r="S4" s="19" t="s">
        <v>341</v>
      </c>
    </row>
    <row r="5" spans="2:19" x14ac:dyDescent="0.3">
      <c r="B5" s="6" t="s">
        <v>114</v>
      </c>
      <c r="C5" s="51"/>
      <c r="D5" s="51"/>
      <c r="E5" s="51">
        <v>88.268788561549911</v>
      </c>
      <c r="F5" s="51">
        <v>8136.4830442748871</v>
      </c>
      <c r="G5" s="51">
        <v>14705.599268864924</v>
      </c>
      <c r="H5" s="84">
        <f>'Tesla Revenue Automotive'!H5</f>
        <v>26587.1366992</v>
      </c>
      <c r="I5" s="84">
        <f>'Tesla Revenue Automotive'!I5</f>
        <v>29245.850369120002</v>
      </c>
      <c r="J5" s="84">
        <f>'Tesla Revenue Automotive'!J5</f>
        <v>32170.435406032004</v>
      </c>
      <c r="K5" s="84">
        <f>'Tesla Revenue Automotive'!K5</f>
        <v>34744.070238514563</v>
      </c>
      <c r="L5" s="84">
        <f>'Tesla Revenue Automotive'!L5</f>
        <v>37523.595857595734</v>
      </c>
      <c r="M5" s="84">
        <f>'Tesla Revenue Automotive'!M5</f>
        <v>39024.539691899576</v>
      </c>
      <c r="N5" s="84">
        <f>'Tesla Revenue Automotive'!N5</f>
        <v>40585.521279575543</v>
      </c>
      <c r="O5" s="84">
        <f>'Tesla Revenue Automotive'!O5</f>
        <v>42208.942130758573</v>
      </c>
      <c r="P5" s="84">
        <f>'Tesla Revenue Automotive'!P5</f>
        <v>43897.299815988925</v>
      </c>
      <c r="Q5" s="84">
        <f>'Tesla Revenue Automotive'!Q5</f>
        <v>45653.191808628479</v>
      </c>
      <c r="S5" s="9" t="s">
        <v>338</v>
      </c>
    </row>
    <row r="6" spans="2:19" x14ac:dyDescent="0.3">
      <c r="B6" s="6" t="s">
        <v>115</v>
      </c>
      <c r="C6" s="51">
        <v>3740.973</v>
      </c>
      <c r="D6" s="51">
        <v>6350.7659999999996</v>
      </c>
      <c r="E6" s="51">
        <v>9553.0312114384506</v>
      </c>
      <c r="F6" s="51">
        <v>10378.49995572511</v>
      </c>
      <c r="G6" s="51">
        <v>6115.4007311350751</v>
      </c>
      <c r="H6" s="84">
        <f>'Tesla Revenue Automotive'!H6</f>
        <v>7186.6603294200013</v>
      </c>
      <c r="I6" s="84">
        <f>'Tesla Revenue Automotive'!I6</f>
        <v>7474.1267425968017</v>
      </c>
      <c r="J6" s="84">
        <f>'Tesla Revenue Automotive'!J6</f>
        <v>7773.0918123006732</v>
      </c>
      <c r="K6" s="84">
        <f>'Tesla Revenue Automotive'!K6</f>
        <v>8084.0154847927015</v>
      </c>
      <c r="L6" s="84">
        <f>'Tesla Revenue Automotive'!L6</f>
        <v>8407.37610418441</v>
      </c>
      <c r="M6" s="84">
        <f>'Tesla Revenue Automotive'!M6</f>
        <v>8743.6711483517865</v>
      </c>
      <c r="N6" s="84">
        <f>'Tesla Revenue Automotive'!N6</f>
        <v>9093.4179942858573</v>
      </c>
      <c r="O6" s="84">
        <f>'Tesla Revenue Automotive'!O6</f>
        <v>9457.1547140572929</v>
      </c>
      <c r="P6" s="84">
        <f>'Tesla Revenue Automotive'!P6</f>
        <v>9835.4409026195844</v>
      </c>
      <c r="Q6" s="84">
        <f>'Tesla Revenue Automotive'!Q6</f>
        <v>10228.858538724369</v>
      </c>
      <c r="S6" s="9" t="s">
        <v>338</v>
      </c>
    </row>
    <row r="7" spans="2:19" x14ac:dyDescent="0.3">
      <c r="B7" s="6" t="s">
        <v>116</v>
      </c>
      <c r="C7" s="51">
        <f>($R7*'Tesla Automotive Deliveries'!C7)*C16/1000000</f>
        <v>0</v>
      </c>
      <c r="D7" s="51">
        <f>($R7*'Tesla Automotive Deliveries'!D7)*D16/1000000</f>
        <v>0</v>
      </c>
      <c r="E7" s="51">
        <f>($R7*'Tesla Automotive Deliveries'!E7)*E16/1000000</f>
        <v>0</v>
      </c>
      <c r="F7" s="51">
        <f>($R7*'Tesla Automotive Deliveries'!F7)*F16/1000000</f>
        <v>0</v>
      </c>
      <c r="G7" s="51">
        <f>($R7*'Tesla Automotive Deliveries'!G7)*G16/1000000</f>
        <v>0</v>
      </c>
      <c r="H7" s="84">
        <f>'Tesla Revenue Automotive'!H7</f>
        <v>109.75608</v>
      </c>
      <c r="I7" s="84">
        <f>'Tesla Revenue Automotive'!I7</f>
        <v>9087.5421000000006</v>
      </c>
      <c r="J7" s="84">
        <f>'Tesla Revenue Automotive'!J7</f>
        <v>18716.709299999999</v>
      </c>
      <c r="K7" s="84">
        <f>'Tesla Revenue Automotive'!K7</f>
        <v>29946.73488</v>
      </c>
      <c r="L7" s="84">
        <f>'Tesla Revenue Automotive'!L7</f>
        <v>32941.408367999997</v>
      </c>
      <c r="M7" s="84">
        <f>'Tesla Revenue Automotive'!M7</f>
        <v>36235.549204800009</v>
      </c>
      <c r="N7" s="84">
        <f>'Tesla Revenue Automotive'!N7</f>
        <v>39134.393141184017</v>
      </c>
      <c r="O7" s="84">
        <f>'Tesla Revenue Automotive'!O7</f>
        <v>42265.144592478726</v>
      </c>
      <c r="P7" s="84">
        <f>'Tesla Revenue Automotive'!P7</f>
        <v>43955.750376177886</v>
      </c>
      <c r="Q7" s="84">
        <f>'Tesla Revenue Automotive'!Q7</f>
        <v>45713.980391225006</v>
      </c>
      <c r="S7" s="9" t="s">
        <v>338</v>
      </c>
    </row>
    <row r="8" spans="2:19" x14ac:dyDescent="0.3">
      <c r="B8" s="6" t="s">
        <v>117</v>
      </c>
      <c r="C8" s="51">
        <f>($R8*'Tesla Automotive Deliveries'!C8)*C17/1000000</f>
        <v>0</v>
      </c>
      <c r="D8" s="51">
        <f>($R8*'Tesla Automotive Deliveries'!D8)*D17/1000000</f>
        <v>0</v>
      </c>
      <c r="E8" s="51">
        <f>($R8*'Tesla Automotive Deliveries'!E8)*E17/1000000</f>
        <v>0</v>
      </c>
      <c r="F8" s="51">
        <f>($R8*'Tesla Automotive Deliveries'!F8)*F17/1000000</f>
        <v>0</v>
      </c>
      <c r="G8" s="51">
        <f>($R8*'Tesla Automotive Deliveries'!G8)*G17/1000000</f>
        <v>0</v>
      </c>
      <c r="H8" s="84" t="str">
        <f>'Tesla Revenue Automotive'!H8</f>
        <v>-</v>
      </c>
      <c r="I8" s="84" t="str">
        <f>'Tesla Revenue Automotive'!I8</f>
        <v>-</v>
      </c>
      <c r="J8" s="84">
        <f>'Tesla Revenue Automotive'!J8</f>
        <v>114.75</v>
      </c>
      <c r="K8" s="84">
        <f>'Tesla Revenue Automotive'!K8</f>
        <v>229.5</v>
      </c>
      <c r="L8" s="84">
        <f>'Tesla Revenue Automotive'!L8</f>
        <v>344.25</v>
      </c>
      <c r="M8" s="84">
        <f>'Tesla Revenue Automotive'!M8</f>
        <v>378.67500000000007</v>
      </c>
      <c r="N8" s="84">
        <f>'Tesla Revenue Automotive'!N8</f>
        <v>416.54250000000013</v>
      </c>
      <c r="O8" s="84">
        <f>'Tesla Revenue Automotive'!O8</f>
        <v>449.86590000000018</v>
      </c>
      <c r="P8" s="84">
        <f>'Tesla Revenue Automotive'!P8</f>
        <v>485.85517200000027</v>
      </c>
      <c r="Q8" s="84">
        <f>'Tesla Revenue Automotive'!Q8</f>
        <v>505.28937888000024</v>
      </c>
      <c r="S8" s="9" t="s">
        <v>338</v>
      </c>
    </row>
    <row r="9" spans="2:19" x14ac:dyDescent="0.3">
      <c r="B9" s="6" t="s">
        <v>118</v>
      </c>
      <c r="C9" s="51">
        <f>($R9*'Tesla Automotive Deliveries'!C9)*C18/1000000</f>
        <v>0</v>
      </c>
      <c r="D9" s="51">
        <f>($R9*'Tesla Automotive Deliveries'!D9)*D18/1000000</f>
        <v>0</v>
      </c>
      <c r="E9" s="51">
        <f>($R9*'Tesla Automotive Deliveries'!E9)*E18/1000000</f>
        <v>0</v>
      </c>
      <c r="F9" s="51">
        <f>($R9*'Tesla Automotive Deliveries'!F9)*F18/1000000</f>
        <v>0</v>
      </c>
      <c r="G9" s="51">
        <f>($R9*'Tesla Automotive Deliveries'!G9)*G18/1000000</f>
        <v>0</v>
      </c>
      <c r="H9" s="84" t="str">
        <f>'Tesla Revenue Automotive'!H9</f>
        <v>-</v>
      </c>
      <c r="I9" s="84">
        <f>'Tesla Revenue Automotive'!I9</f>
        <v>14.891999999999999</v>
      </c>
      <c r="J9" s="84">
        <f>'Tesla Revenue Automotive'!J9</f>
        <v>1233.0221428571429</v>
      </c>
      <c r="K9" s="84">
        <f>'Tesla Revenue Automotive'!K9</f>
        <v>2539.5334353741505</v>
      </c>
      <c r="L9" s="84">
        <f>'Tesla Revenue Automotive'!L9</f>
        <v>4063.2534965986406</v>
      </c>
      <c r="M9" s="84">
        <f>'Tesla Revenue Automotive'!M9</f>
        <v>4469.5788462585051</v>
      </c>
      <c r="N9" s="84">
        <f>'Tesla Revenue Automotive'!N9</f>
        <v>4916.5367308843552</v>
      </c>
      <c r="O9" s="84">
        <f>'Tesla Revenue Automotive'!O9</f>
        <v>5309.8596693551053</v>
      </c>
      <c r="P9" s="84">
        <f>'Tesla Revenue Automotive'!P9</f>
        <v>5734.6484429035136</v>
      </c>
      <c r="Q9" s="84">
        <f>'Tesla Revenue Automotive'!Q9</f>
        <v>5964.0343806196543</v>
      </c>
      <c r="S9" s="9" t="s">
        <v>339</v>
      </c>
    </row>
    <row r="10" spans="2:19" x14ac:dyDescent="0.3">
      <c r="B10" s="6" t="s">
        <v>119</v>
      </c>
      <c r="C10" s="51">
        <f>($R10*'Tesla Automotive Deliveries'!C10)*C19/1000000</f>
        <v>0</v>
      </c>
      <c r="D10" s="51">
        <f>($R10*'Tesla Automotive Deliveries'!D10)*D19/1000000</f>
        <v>0</v>
      </c>
      <c r="E10" s="51">
        <f>($R10*'Tesla Automotive Deliveries'!E10)*E19/1000000</f>
        <v>0</v>
      </c>
      <c r="F10" s="51">
        <f>($R10*'Tesla Automotive Deliveries'!F10)*F19/1000000</f>
        <v>0</v>
      </c>
      <c r="G10" s="51">
        <f>($R10*'Tesla Automotive Deliveries'!G10)*G19/1000000</f>
        <v>0</v>
      </c>
      <c r="H10" s="84" t="str">
        <f>'Tesla Revenue Automotive'!H10</f>
        <v>-</v>
      </c>
      <c r="I10" s="84">
        <f>'Tesla Revenue Automotive'!I10</f>
        <v>44.625</v>
      </c>
      <c r="J10" s="84">
        <f>'Tesla Revenue Automotive'!J10</f>
        <v>3694.84375</v>
      </c>
      <c r="K10" s="84">
        <f>'Tesla Revenue Automotive'!K10</f>
        <v>7609.9032738095257</v>
      </c>
      <c r="L10" s="84">
        <f>'Tesla Revenue Automotive'!L10</f>
        <v>12175.845238095242</v>
      </c>
      <c r="M10" s="84">
        <f>'Tesla Revenue Automotive'!M10</f>
        <v>13393.429761904767</v>
      </c>
      <c r="N10" s="84">
        <f>'Tesla Revenue Automotive'!N10</f>
        <v>14732.772738095246</v>
      </c>
      <c r="O10" s="84">
        <f>'Tesla Revenue Automotive'!O10</f>
        <v>15911.394557142865</v>
      </c>
      <c r="P10" s="84">
        <f>'Tesla Revenue Automotive'!P10</f>
        <v>17184.306121714297</v>
      </c>
      <c r="Q10" s="84">
        <f>'Tesla Revenue Automotive'!Q10</f>
        <v>17871.67836658287</v>
      </c>
      <c r="S10" s="9" t="s">
        <v>340</v>
      </c>
    </row>
    <row r="11" spans="2:19" ht="16.8" thickBot="1" x14ac:dyDescent="0.4">
      <c r="B11" s="60" t="s">
        <v>120</v>
      </c>
      <c r="C11" s="61">
        <f>SUM(C5:C10)</f>
        <v>3740.973</v>
      </c>
      <c r="D11" s="61">
        <f t="shared" ref="D11:Q11" si="0">SUM(D5:D10)</f>
        <v>6350.7659999999996</v>
      </c>
      <c r="E11" s="61">
        <f t="shared" si="0"/>
        <v>9641.3000000000011</v>
      </c>
      <c r="F11" s="61">
        <f t="shared" si="0"/>
        <v>18514.982999999997</v>
      </c>
      <c r="G11" s="61">
        <f t="shared" si="0"/>
        <v>20821</v>
      </c>
      <c r="H11" s="132">
        <f t="shared" si="0"/>
        <v>33883.553108619999</v>
      </c>
      <c r="I11" s="132">
        <f t="shared" si="0"/>
        <v>45867.036211716804</v>
      </c>
      <c r="J11" s="132">
        <f t="shared" si="0"/>
        <v>63702.852411189822</v>
      </c>
      <c r="K11" s="132">
        <f t="shared" si="0"/>
        <v>83153.75731249094</v>
      </c>
      <c r="L11" s="132">
        <f t="shared" si="0"/>
        <v>95455.729064474013</v>
      </c>
      <c r="M11" s="132">
        <f t="shared" si="0"/>
        <v>102245.44365321465</v>
      </c>
      <c r="N11" s="132">
        <f t="shared" si="0"/>
        <v>108879.18438402501</v>
      </c>
      <c r="O11" s="132">
        <f t="shared" si="0"/>
        <v>115602.36156379257</v>
      </c>
      <c r="P11" s="132">
        <f t="shared" si="0"/>
        <v>121093.30083140421</v>
      </c>
      <c r="Q11" s="132">
        <f t="shared" si="0"/>
        <v>125937.03286466037</v>
      </c>
    </row>
  </sheetData>
  <mergeCells count="1">
    <mergeCell ref="B3:Q3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60ED-47D9-4C10-925D-B5A92000583A}">
  <dimension ref="B1:R8"/>
  <sheetViews>
    <sheetView showGridLines="0" workbookViewId="0"/>
  </sheetViews>
  <sheetFormatPr defaultRowHeight="15.6" x14ac:dyDescent="0.3"/>
  <cols>
    <col min="1" max="1" width="4.44140625" style="42" customWidth="1"/>
    <col min="2" max="2" width="3" style="42" customWidth="1"/>
    <col min="3" max="3" width="10.6640625" style="42" customWidth="1"/>
    <col min="4" max="8" width="8.88671875" style="42"/>
    <col min="9" max="13" width="9.33203125" style="42" bestFit="1" customWidth="1"/>
    <col min="14" max="18" width="11.21875" style="42" bestFit="1" customWidth="1"/>
    <col min="19" max="16384" width="8.88671875" style="42"/>
  </cols>
  <sheetData>
    <row r="1" spans="2:18" ht="16.2" x14ac:dyDescent="0.3">
      <c r="B1" s="4" t="s">
        <v>383</v>
      </c>
    </row>
    <row r="4" spans="2:18" ht="32.4" x14ac:dyDescent="0.3">
      <c r="C4" s="19" t="s">
        <v>384</v>
      </c>
      <c r="D4" s="19" t="str">
        <f>'[1]Types of vehicles'!C13</f>
        <v>2015
Act</v>
      </c>
      <c r="E4" s="19" t="str">
        <f>'[1]Types of vehicles'!D13</f>
        <v>2016
Act</v>
      </c>
      <c r="F4" s="19" t="str">
        <f>'[1]Types of vehicles'!E13</f>
        <v>2017
Act</v>
      </c>
      <c r="G4" s="19" t="str">
        <f>'[1]Types of vehicles'!F13</f>
        <v>2018
Act</v>
      </c>
      <c r="H4" s="19" t="str">
        <f>'[1]Types of vehicles'!G13</f>
        <v>2019
Act</v>
      </c>
      <c r="I4" s="57" t="str">
        <f>'[1]Types of vehicles'!H13</f>
        <v>2020
Fcst</v>
      </c>
      <c r="J4" s="57" t="str">
        <f>'[1]Types of vehicles'!I13</f>
        <v>2021
Fcst</v>
      </c>
      <c r="K4" s="57" t="str">
        <f>'[1]Types of vehicles'!J13</f>
        <v>2022
Fcst</v>
      </c>
      <c r="L4" s="57" t="str">
        <f>'[1]Types of vehicles'!K13</f>
        <v>2023
Fcst</v>
      </c>
      <c r="M4" s="57" t="str">
        <f>'[1]Types of vehicles'!L13</f>
        <v>2024
Fcst</v>
      </c>
      <c r="N4" s="57" t="str">
        <f>'[1]Types of vehicles'!M13</f>
        <v>2025
Fcst</v>
      </c>
      <c r="O4" s="57" t="str">
        <f>'[1]Types of vehicles'!N13</f>
        <v>2026
Fcst</v>
      </c>
      <c r="P4" s="57" t="str">
        <f>'[1]Types of vehicles'!O13</f>
        <v>2027
Fcst</v>
      </c>
      <c r="Q4" s="57" t="str">
        <f>'[1]Types of vehicles'!P13</f>
        <v>2028
Fcst</v>
      </c>
      <c r="R4" s="57" t="str">
        <f>'[1]Types of vehicles'!Q13</f>
        <v>2029
Fcst</v>
      </c>
    </row>
    <row r="5" spans="2:18" x14ac:dyDescent="0.3">
      <c r="C5" s="6" t="str">
        <f>'[1]Types of vehicles'!B14</f>
        <v>Car</v>
      </c>
      <c r="D5" s="199"/>
      <c r="E5" s="6"/>
      <c r="F5" s="6"/>
      <c r="G5" s="6"/>
      <c r="H5" s="6"/>
      <c r="I5" s="84">
        <f>SUMIF('Revenue by type of car'!$S$5:$S$10,'Types of vehicles'!$C$5,'Revenue by type of car'!H5:H10)</f>
        <v>33883.553108619999</v>
      </c>
      <c r="J5" s="84">
        <f>SUMIF('Revenue by type of car'!$S$5:$S$10,'Types of vehicles'!$C$5,'Revenue by type of car'!I5:I10)</f>
        <v>45807.519211716804</v>
      </c>
      <c r="K5" s="84">
        <f>SUMIF('Revenue by type of car'!$S$5:$S$10,'Types of vehicles'!$C$5,'Revenue by type of car'!J5:J10)</f>
        <v>58774.986518332676</v>
      </c>
      <c r="L5" s="84">
        <f>SUMIF('Revenue by type of car'!$S$5:$S$10,'Types of vehicles'!$C$5,'Revenue by type of car'!K5:K10)</f>
        <v>73004.320603307264</v>
      </c>
      <c r="M5" s="84">
        <f>SUMIF('Revenue by type of car'!$S$5:$S$10,'Types of vehicles'!$C$5,'Revenue by type of car'!L5:L10)</f>
        <v>79216.630329780135</v>
      </c>
      <c r="N5" s="84">
        <f>SUMIF('Revenue by type of car'!$S$5:$S$10,'Types of vehicles'!$C$5,'Revenue by type of car'!M5:M10)</f>
        <v>84382.435045051374</v>
      </c>
      <c r="O5" s="84">
        <f>SUMIF('Revenue by type of car'!$S$5:$S$10,'Types of vehicles'!$C$5,'Revenue by type of car'!N5:N10)</f>
        <v>89229.87491504541</v>
      </c>
      <c r="P5" s="84">
        <f>SUMIF('Revenue by type of car'!$S$5:$S$10,'Types of vehicles'!$C$5,'Revenue by type of car'!O5:O10)</f>
        <v>94381.107337294598</v>
      </c>
      <c r="Q5" s="84">
        <f>SUMIF('Revenue by type of car'!$S$5:$S$10,'Types of vehicles'!$C$5,'Revenue by type of car'!P5:P10)</f>
        <v>98174.346266786393</v>
      </c>
      <c r="R5" s="84">
        <f>SUMIF('Revenue by type of car'!$S$5:$S$10,'Types of vehicles'!$C$5,'Revenue by type of car'!Q5:Q10)</f>
        <v>102101.32011745786</v>
      </c>
    </row>
    <row r="6" spans="2:18" x14ac:dyDescent="0.3">
      <c r="C6" s="6" t="str">
        <f>'[1]Types of vehicles'!B15</f>
        <v>Pickup</v>
      </c>
      <c r="D6" s="6"/>
      <c r="E6" s="6"/>
      <c r="F6" s="6"/>
      <c r="G6" s="6"/>
      <c r="H6" s="6"/>
      <c r="I6" s="84">
        <f>SUMIF('Revenue by type of car'!$S$5:$S$10,'Types of vehicles'!$C$6,'Revenue by type of car'!H5:H11)</f>
        <v>0</v>
      </c>
      <c r="J6" s="84">
        <f>SUMIF('Revenue by type of car'!$S$5:$S$10,'Types of vehicles'!$C$6,'Revenue by type of car'!I5:I11)</f>
        <v>14.891999999999999</v>
      </c>
      <c r="K6" s="84">
        <f>SUMIF('Revenue by type of car'!$S$5:$S$10,'Types of vehicles'!$C$6,'Revenue by type of car'!J5:J11)</f>
        <v>1233.0221428571429</v>
      </c>
      <c r="L6" s="84">
        <f>SUMIF('Revenue by type of car'!$S$5:$S$10,'Types of vehicles'!$C$6,'Revenue by type of car'!K5:K11)</f>
        <v>2539.5334353741505</v>
      </c>
      <c r="M6" s="84">
        <f>SUMIF('Revenue by type of car'!$S$5:$S$10,'Types of vehicles'!$C$6,'Revenue by type of car'!L5:L11)</f>
        <v>4063.2534965986406</v>
      </c>
      <c r="N6" s="84">
        <f>SUMIF('Revenue by type of car'!$S$5:$S$10,'Types of vehicles'!$C$6,'Revenue by type of car'!M5:M11)</f>
        <v>4469.5788462585051</v>
      </c>
      <c r="O6" s="84">
        <f>SUMIF('Revenue by type of car'!$S$5:$S$10,'Types of vehicles'!$C$6,'Revenue by type of car'!N5:N11)</f>
        <v>4916.5367308843552</v>
      </c>
      <c r="P6" s="84">
        <f>SUMIF('Revenue by type of car'!$S$5:$S$10,'Types of vehicles'!$C$6,'Revenue by type of car'!O5:O11)</f>
        <v>5309.8596693551053</v>
      </c>
      <c r="Q6" s="84">
        <f>SUMIF('Revenue by type of car'!$S$5:$S$10,'Types of vehicles'!$C$6,'Revenue by type of car'!P5:P11)</f>
        <v>5734.6484429035136</v>
      </c>
      <c r="R6" s="84">
        <f>SUMIF('Revenue by type of car'!$S$5:$S$10,'Types of vehicles'!$C$6,'Revenue by type of car'!Q5:Q11)</f>
        <v>5964.0343806196543</v>
      </c>
    </row>
    <row r="7" spans="2:18" x14ac:dyDescent="0.3">
      <c r="C7" s="6" t="str">
        <f>'[1]Types of vehicles'!B16</f>
        <v>Truck</v>
      </c>
      <c r="D7" s="6"/>
      <c r="E7" s="6"/>
      <c r="F7" s="6"/>
      <c r="G7" s="6"/>
      <c r="H7" s="6"/>
      <c r="I7" s="84">
        <f>SUMIF('Revenue by type of car'!$S$5:$S$10,'Types of vehicles'!$C$7,'Revenue by type of car'!H5:H12)</f>
        <v>0</v>
      </c>
      <c r="J7" s="84">
        <f>SUMIF('Revenue by type of car'!$S$5:$S$10,'Types of vehicles'!$C$7,'Revenue by type of car'!I5:I12)</f>
        <v>44.625</v>
      </c>
      <c r="K7" s="84">
        <f>SUMIF('Revenue by type of car'!$S$5:$S$10,'Types of vehicles'!$C$7,'Revenue by type of car'!J5:J12)</f>
        <v>3694.84375</v>
      </c>
      <c r="L7" s="84">
        <f>SUMIF('Revenue by type of car'!$S$5:$S$10,'Types of vehicles'!$C$7,'Revenue by type of car'!K5:K12)</f>
        <v>7609.9032738095257</v>
      </c>
      <c r="M7" s="84">
        <f>SUMIF('Revenue by type of car'!$S$5:$S$10,'Types of vehicles'!$C$7,'Revenue by type of car'!L5:L12)</f>
        <v>12175.845238095242</v>
      </c>
      <c r="N7" s="84">
        <f>SUMIF('Revenue by type of car'!$S$5:$S$10,'Types of vehicles'!$C$7,'Revenue by type of car'!M5:M12)</f>
        <v>13393.429761904767</v>
      </c>
      <c r="O7" s="84">
        <f>SUMIF('Revenue by type of car'!$S$5:$S$10,'Types of vehicles'!$C$7,'Revenue by type of car'!N5:N12)</f>
        <v>14732.772738095246</v>
      </c>
      <c r="P7" s="84">
        <f>SUMIF('Revenue by type of car'!$S$5:$S$10,'Types of vehicles'!$C$7,'Revenue by type of car'!O5:O12)</f>
        <v>15911.394557142865</v>
      </c>
      <c r="Q7" s="84">
        <f>SUMIF('Revenue by type of car'!$S$5:$S$10,'Types of vehicles'!$C$7,'Revenue by type of car'!P5:P12)</f>
        <v>17184.306121714297</v>
      </c>
      <c r="R7" s="84">
        <f>SUMIF('Revenue by type of car'!$S$5:$S$10,'Types of vehicles'!$C$7,'Revenue by type of car'!Q5:Q12)</f>
        <v>17871.67836658287</v>
      </c>
    </row>
    <row r="8" spans="2:18" ht="16.8" thickBot="1" x14ac:dyDescent="0.4">
      <c r="C8" s="60" t="str">
        <f>'[1]Types of vehicles'!B17</f>
        <v>Total</v>
      </c>
      <c r="D8" s="61"/>
      <c r="E8" s="61"/>
      <c r="F8" s="61"/>
      <c r="G8" s="61"/>
      <c r="H8" s="61"/>
      <c r="I8" s="132">
        <f>SUM(I5:I7)</f>
        <v>33883.553108619999</v>
      </c>
      <c r="J8" s="132">
        <f t="shared" ref="J8:R8" si="0">SUM(J5:J7)</f>
        <v>45867.036211716804</v>
      </c>
      <c r="K8" s="132">
        <f t="shared" si="0"/>
        <v>63702.852411189822</v>
      </c>
      <c r="L8" s="132">
        <f t="shared" si="0"/>
        <v>83153.75731249094</v>
      </c>
      <c r="M8" s="132">
        <f t="shared" si="0"/>
        <v>95455.729064474013</v>
      </c>
      <c r="N8" s="132">
        <f t="shared" si="0"/>
        <v>102245.44365321465</v>
      </c>
      <c r="O8" s="132">
        <f t="shared" si="0"/>
        <v>108879.18438402501</v>
      </c>
      <c r="P8" s="132">
        <f t="shared" si="0"/>
        <v>115602.36156379257</v>
      </c>
      <c r="Q8" s="132">
        <f t="shared" si="0"/>
        <v>121093.30083140421</v>
      </c>
      <c r="R8" s="132">
        <f t="shared" si="0"/>
        <v>125937.03286466037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Tesla Company Analysis</vt:lpstr>
      <vt:lpstr>Drivers</vt:lpstr>
      <vt:lpstr>Input ---&gt;</vt:lpstr>
      <vt:lpstr>P&amp;L Input</vt:lpstr>
      <vt:lpstr>Balance Sheet Input</vt:lpstr>
      <vt:lpstr>Income Statement Items ---&gt;</vt:lpstr>
      <vt:lpstr>1. Automotive</vt:lpstr>
      <vt:lpstr>Tesla Automotive Deliveries</vt:lpstr>
      <vt:lpstr> Automotive Deliveries Chart</vt:lpstr>
      <vt:lpstr>Automotive Deliverie comparable</vt:lpstr>
      <vt:lpstr>Average Automotive Model Prices</vt:lpstr>
      <vt:lpstr>Tesla Revenue Automotive</vt:lpstr>
      <vt:lpstr>Tesla Automotivo GP% </vt:lpstr>
      <vt:lpstr>Tesla Automotive GP </vt:lpstr>
      <vt:lpstr>Tesla Cost of sales Automotive</vt:lpstr>
      <vt:lpstr>Revenue and GP Automative Chart</vt:lpstr>
      <vt:lpstr>2.Tesla Energy,Services &amp; Other</vt:lpstr>
      <vt:lpstr>Revenue Energy, service &amp; Other</vt:lpstr>
      <vt:lpstr>Energy, services &amp; Other GP</vt:lpstr>
      <vt:lpstr>COGS Energy, Services &amp; Other</vt:lpstr>
      <vt:lpstr>Operating Expenses ---&gt;</vt:lpstr>
      <vt:lpstr>Tesla Opex comparables</vt:lpstr>
      <vt:lpstr>Tesla Opex</vt:lpstr>
      <vt:lpstr>PP&amp;E ---&gt;</vt:lpstr>
      <vt:lpstr>Tesla PP&amp;E</vt:lpstr>
      <vt:lpstr>Tesla PP&amp;E Comparables</vt:lpstr>
      <vt:lpstr>Working Capital ---&gt; </vt:lpstr>
      <vt:lpstr>Tesla Working capital </vt:lpstr>
      <vt:lpstr>Tesla WC comparables</vt:lpstr>
      <vt:lpstr>Financing ---&gt;</vt:lpstr>
      <vt:lpstr>Tesla Financing </vt:lpstr>
      <vt:lpstr>Financial Statements ---&gt;</vt:lpstr>
      <vt:lpstr>P&amp;L </vt:lpstr>
      <vt:lpstr>Balance Sheet </vt:lpstr>
      <vt:lpstr>Cash Flow </vt:lpstr>
      <vt:lpstr>WACC ---&gt;</vt:lpstr>
      <vt:lpstr>WACC </vt:lpstr>
      <vt:lpstr>DCF Model ---&gt;</vt:lpstr>
      <vt:lpstr>DCF Valuation </vt:lpstr>
      <vt:lpstr>Charts ---&gt;</vt:lpstr>
      <vt:lpstr>Cash Flow WaterFall</vt:lpstr>
      <vt:lpstr>Net Income Waterfall </vt:lpstr>
      <vt:lpstr>Revenue by type of car</vt:lpstr>
      <vt:lpstr>Types of 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V</dc:creator>
  <cp:lastModifiedBy>Umesh V</cp:lastModifiedBy>
  <dcterms:created xsi:type="dcterms:W3CDTF">2026-09-01T13:57:23Z</dcterms:created>
  <dcterms:modified xsi:type="dcterms:W3CDTF">2026-09-16T17:07:41Z</dcterms:modified>
</cp:coreProperties>
</file>